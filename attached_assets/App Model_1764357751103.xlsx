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drewgodwin/Desktop/Nations Roof/"/>
    </mc:Choice>
  </mc:AlternateContent>
  <xr:revisionPtr revIDLastSave="0" documentId="13_ncr:1_{43A7D99F-7F2A-6E4A-818A-AF12B0418BB1}" xr6:coauthVersionLast="47" xr6:coauthVersionMax="47" xr10:uidLastSave="{00000000-0000-0000-0000-000000000000}"/>
  <bookViews>
    <workbookView xWindow="0" yWindow="660" windowWidth="34560" windowHeight="21680" activeTab="8" xr2:uid="{00000000-000D-0000-FFFF-FFFF00000000}"/>
  </bookViews>
  <sheets>
    <sheet name="README" sheetId="1" r:id="rId1"/>
    <sheet name="StepByStep" sheetId="2" r:id="rId2"/>
    <sheet name="BusinessFunctions" sheetId="3" r:id="rId3"/>
    <sheet name="PrimitiveGuide" sheetId="4" r:id="rId4"/>
    <sheet name="ScoringModel" sheetId="5" r:id="rId5"/>
    <sheet name="Use Cases" sheetId="6" r:id="rId6"/>
    <sheet name="TokenModel" sheetId="7" r:id="rId7"/>
    <sheet name="Roadmap_Snapshot" sheetId="8" r:id="rId8"/>
    <sheet name="ExecutiveDashboar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6" l="1"/>
  <c r="Q4" i="6"/>
  <c r="P4" i="6"/>
  <c r="O4" i="6"/>
  <c r="Q2" i="6"/>
  <c r="P2" i="6"/>
  <c r="O2" i="6"/>
  <c r="B9" i="9"/>
  <c r="B8" i="9"/>
  <c r="B7" i="9"/>
  <c r="B6" i="9"/>
  <c r="B10" i="9" s="1"/>
  <c r="AF11" i="6"/>
  <c r="Q11" i="6"/>
  <c r="P11" i="6"/>
  <c r="O11" i="6"/>
  <c r="R11" i="6" s="1"/>
  <c r="AF10" i="6"/>
  <c r="Q10" i="6"/>
  <c r="P10" i="6"/>
  <c r="O10" i="6"/>
  <c r="R10" i="6" s="1"/>
  <c r="AF9" i="6"/>
  <c r="Q9" i="6"/>
  <c r="P9" i="6"/>
  <c r="O9" i="6"/>
  <c r="R9" i="6" s="1"/>
  <c r="AF8" i="6"/>
  <c r="Q8" i="6"/>
  <c r="P8" i="6"/>
  <c r="O8" i="6"/>
  <c r="R8" i="6" s="1"/>
  <c r="AF7" i="6"/>
  <c r="Q7" i="6"/>
  <c r="P7" i="6"/>
  <c r="O7" i="6"/>
  <c r="R7" i="6" s="1"/>
  <c r="AF6" i="6"/>
  <c r="Q6" i="6"/>
  <c r="P6" i="6"/>
  <c r="O6" i="6"/>
  <c r="R6" i="6" s="1"/>
  <c r="AF5" i="6"/>
  <c r="Q5" i="6"/>
  <c r="P5" i="6"/>
  <c r="O5" i="6"/>
  <c r="R5" i="6" s="1"/>
  <c r="AF4" i="6"/>
  <c r="AF3" i="6"/>
  <c r="Q3" i="6"/>
  <c r="P3" i="6"/>
  <c r="O3" i="6"/>
  <c r="R3" i="6" s="1"/>
  <c r="AF2" i="6"/>
  <c r="B12" i="9" s="1"/>
  <c r="R2" i="6" l="1"/>
  <c r="S3" i="6"/>
  <c r="S4" i="6"/>
  <c r="S5" i="6"/>
  <c r="S6" i="6"/>
  <c r="S7" i="6"/>
  <c r="S8" i="6"/>
  <c r="S9" i="6"/>
  <c r="S10" i="6"/>
  <c r="S11" i="6"/>
  <c r="S2" i="6"/>
  <c r="B13" i="9"/>
  <c r="I10" i="9" l="1"/>
  <c r="H10" i="9" s="1"/>
  <c r="I9" i="9"/>
  <c r="G10" i="9"/>
  <c r="I8" i="9"/>
  <c r="G8" i="9" s="1"/>
  <c r="E10" i="9"/>
  <c r="I7" i="9"/>
  <c r="E7" i="9" s="1"/>
  <c r="I11" i="9"/>
  <c r="G11" i="9" s="1"/>
  <c r="F10" i="9"/>
  <c r="F9" i="9"/>
  <c r="E9" i="9"/>
  <c r="G9" i="9"/>
  <c r="H9" i="9"/>
  <c r="H8" i="9" l="1"/>
  <c r="E8" i="9"/>
  <c r="F8" i="9"/>
  <c r="H11" i="9"/>
  <c r="F7" i="9"/>
  <c r="H7" i="9"/>
  <c r="G7" i="9"/>
  <c r="E11" i="9"/>
  <c r="F11" i="9"/>
</calcChain>
</file>

<file path=xl/sharedStrings.xml><?xml version="1.0" encoding="utf-8"?>
<sst xmlns="http://schemas.openxmlformats.org/spreadsheetml/2006/main" count="442" uniqueCount="283">
  <si>
    <t>AI Use Case Prioritization Workbook</t>
  </si>
  <si>
    <t>Generated: 2025-11-03 17:01:48</t>
  </si>
  <si>
    <t>How to Use:</t>
  </si>
  <si>
    <t>1) Review 'ScoringModel' and adjust weights/parameters as needed.</t>
  </si>
  <si>
    <t>2) Browse 'BusinessFunctions' to ensure full coverage in discovery workshops.</t>
  </si>
  <si>
    <t>3) Use 'PrimitiveGuide' to map frictions to AI primitives.</t>
  </si>
  <si>
    <t>4) Add your ideas to 'Backlog' (one row per use case).</t>
  </si>
  <si>
    <t>5) The sheet computes Value, Time-to-Value, Effort normalization, Priority Score, and Rank.</t>
  </si>
  <si>
    <t>6) Update token assumptions to estimate monthly tokens per use case.</t>
  </si>
  <si>
    <t>7) See 'ExecutiveDashboard' for portfolio KPIs and charts.</t>
  </si>
  <si>
    <t>Step #</t>
  </si>
  <si>
    <t>Phase</t>
  </si>
  <si>
    <t>What to Do</t>
  </si>
  <si>
    <t>Anchor to Strategy &amp; Drivers</t>
  </si>
  <si>
    <t>Confirm enterprise strategy, OKRs, and the four business drivers (Grow Revenue, Reduce Cost, Increase Cash Flow, Decrease Risk). Define 3–5 strategic themes.</t>
  </si>
  <si>
    <t>Inventory Business Functions</t>
  </si>
  <si>
    <t>List all functions and sub-functions (Sales, Marketing, Product, Ops, Supply Chain, Manufacturing, Finance, Accounting, HR, IT, Legal/Compliance, Customer Service, Facilities/EHS, R&amp;D, Strategy, Procurement, Risk/Security, Data/Analytics, PMO).</t>
  </si>
  <si>
    <t>Map Friction Points</t>
  </si>
  <si>
    <t>Run 60–90 min workshops per function. Capture top pains: delays, rework, errors, compliance gaps, handoffs, knowledge gaps, seasonal peaks, and low-value repetitive work.</t>
  </si>
  <si>
    <t>Match to AI Primitives</t>
  </si>
  <si>
    <t>For each friction, match the best-fit AI primitive(s): Content Creation, Research &amp; Information Retrieval (RIR), Coding Assistance, Data Analysis, Conversational Interfaces, Workflow Automation.</t>
  </si>
  <si>
    <t>Define KPIs &amp; Baselines</t>
  </si>
  <si>
    <t>Turn each friction into a measurable outcome: choose a primary KPI, document baseline, target, timeframe, and measurement method. Ensure traceability to a business driver.</t>
  </si>
  <si>
    <t>Quantify Driver Impacts ($)</t>
  </si>
  <si>
    <t>Translate KPI deltas into yearly USD by driver: Revenue (uplift * margin), Cost (hours saved * loaded rate + waste reduced), Cash Flow (DSO/inventory days improvement * working capital), Risk (probability * impact reduction).</t>
  </si>
  <si>
    <t>Estimate Effort &amp; Time-to-Value</t>
  </si>
  <si>
    <t>Score effort from 1–5 using data readiness, integration complexity, change management, and governance. Estimate months to first measurable value (TTV).</t>
  </si>
  <si>
    <t>Assess Probability of Success</t>
  </si>
  <si>
    <t>Estimate 0–1 based on data availability/quality, precedent within industry, stakeholder buy-in, and maturity of tooling.</t>
  </si>
  <si>
    <t>Score &amp; Prioritize</t>
  </si>
  <si>
    <t>Use weighted scoring (adjustable) to compute Value, Time-to-Value score, Effort normalization, and overall Priority Score (0–100).</t>
  </si>
  <si>
    <t>Portfolio &amp; Sequencing</t>
  </si>
  <si>
    <t>Apply constraints (budget, capacity, compliance). Balance quick wins vs. strategic platforms. Sequence pilots then scale-outs.</t>
  </si>
  <si>
    <t>Pilot, Instrument, Verify</t>
  </si>
  <si>
    <t>Stand up a pilot with instrumentation. Verify KPI change with A/B or pre/post. Track adoption and operational run rate.</t>
  </si>
  <si>
    <t>Scale &amp; Govern</t>
  </si>
  <si>
    <t>Operationalize with runbooks, alerts, model/data governance, risk controls, and continuous improvement loops.</t>
  </si>
  <si>
    <t>Function</t>
  </si>
  <si>
    <t>Sub-Function</t>
  </si>
  <si>
    <t>Corporate Strategy</t>
  </si>
  <si>
    <t>Planning</t>
  </si>
  <si>
    <t>M&amp;A / Corp Dev</t>
  </si>
  <si>
    <t>Competitive Intel</t>
  </si>
  <si>
    <t>PMO</t>
  </si>
  <si>
    <t>Sales</t>
  </si>
  <si>
    <t>Lead Gen</t>
  </si>
  <si>
    <t>Prospecting</t>
  </si>
  <si>
    <t>Account Mgmt</t>
  </si>
  <si>
    <t>Proposal/Bid</t>
  </si>
  <si>
    <t>Forecasting</t>
  </si>
  <si>
    <t>Pricing</t>
  </si>
  <si>
    <t>Marketing</t>
  </si>
  <si>
    <t>Campaigns</t>
  </si>
  <si>
    <t>Content</t>
  </si>
  <si>
    <t>SEO/SEM</t>
  </si>
  <si>
    <t>Events</t>
  </si>
  <si>
    <t>Product Marketing</t>
  </si>
  <si>
    <t>Brand</t>
  </si>
  <si>
    <t>Product/Engineering</t>
  </si>
  <si>
    <t>Requirements</t>
  </si>
  <si>
    <t>Design</t>
  </si>
  <si>
    <t>Coding</t>
  </si>
  <si>
    <t>Testing</t>
  </si>
  <si>
    <t>Release</t>
  </si>
  <si>
    <t>Docs</t>
  </si>
  <si>
    <t>Customer Success</t>
  </si>
  <si>
    <t>Onboarding</t>
  </si>
  <si>
    <t>Support</t>
  </si>
  <si>
    <t>Renewals</t>
  </si>
  <si>
    <t>Upsell/Cross-sell</t>
  </si>
  <si>
    <t>NPS/CSAT</t>
  </si>
  <si>
    <t>Operations</t>
  </si>
  <si>
    <t>Scheduling</t>
  </si>
  <si>
    <t>Logistics</t>
  </si>
  <si>
    <t>Dispatch</t>
  </si>
  <si>
    <t>Quality</t>
  </si>
  <si>
    <t>Maintenance</t>
  </si>
  <si>
    <t>Supply Chain</t>
  </si>
  <si>
    <t>Sourcing</t>
  </si>
  <si>
    <t>Procurement</t>
  </si>
  <si>
    <t>Inventory</t>
  </si>
  <si>
    <t>Warehouse</t>
  </si>
  <si>
    <t>Fulfillment</t>
  </si>
  <si>
    <t>Manufacturing</t>
  </si>
  <si>
    <t>Production</t>
  </si>
  <si>
    <t>OEE</t>
  </si>
  <si>
    <t>Traceability</t>
  </si>
  <si>
    <t>EHS</t>
  </si>
  <si>
    <t>Finance</t>
  </si>
  <si>
    <t>FP&amp;A</t>
  </si>
  <si>
    <t>AP</t>
  </si>
  <si>
    <t>AR</t>
  </si>
  <si>
    <t>Treasury</t>
  </si>
  <si>
    <t>Audit</t>
  </si>
  <si>
    <t>Tax</t>
  </si>
  <si>
    <t>Accounting</t>
  </si>
  <si>
    <t>Close/Consolidation</t>
  </si>
  <si>
    <t>Reconciliations</t>
  </si>
  <si>
    <t>Rev Rec</t>
  </si>
  <si>
    <t>HR/People</t>
  </si>
  <si>
    <t>Recruiting</t>
  </si>
  <si>
    <t>L&amp;D</t>
  </si>
  <si>
    <t>Performance</t>
  </si>
  <si>
    <t>Payroll</t>
  </si>
  <si>
    <t>Benefits</t>
  </si>
  <si>
    <t>IT</t>
  </si>
  <si>
    <t>Helpdesk</t>
  </si>
  <si>
    <t>Endpoint</t>
  </si>
  <si>
    <t>Cloud/Infra</t>
  </si>
  <si>
    <t>Networking</t>
  </si>
  <si>
    <t>Data</t>
  </si>
  <si>
    <t>Security</t>
  </si>
  <si>
    <t>Legal/Compliance</t>
  </si>
  <si>
    <t>Contracts</t>
  </si>
  <si>
    <t>Policies</t>
  </si>
  <si>
    <t>Investigations</t>
  </si>
  <si>
    <t>Regulatory</t>
  </si>
  <si>
    <t>Privacy</t>
  </si>
  <si>
    <t>Facilities/EHS</t>
  </si>
  <si>
    <t>Work Orders</t>
  </si>
  <si>
    <t>Space</t>
  </si>
  <si>
    <t>Safety</t>
  </si>
  <si>
    <t>Incidents</t>
  </si>
  <si>
    <t>Permits</t>
  </si>
  <si>
    <t>R&amp;D</t>
  </si>
  <si>
    <t>Studies</t>
  </si>
  <si>
    <t>IP</t>
  </si>
  <si>
    <t>Experiments</t>
  </si>
  <si>
    <t>Data mgmt</t>
  </si>
  <si>
    <t>Risk/Security</t>
  </si>
  <si>
    <t>Identity</t>
  </si>
  <si>
    <t>Threat</t>
  </si>
  <si>
    <t>Vuln Mgmt</t>
  </si>
  <si>
    <t>BC/DR</t>
  </si>
  <si>
    <t>GRC</t>
  </si>
  <si>
    <t>Data/Analytics/AI</t>
  </si>
  <si>
    <t>Data Eng</t>
  </si>
  <si>
    <t>BI</t>
  </si>
  <si>
    <t>ML Ops</t>
  </si>
  <si>
    <t>Model Governance</t>
  </si>
  <si>
    <t>AI Primitive</t>
  </si>
  <si>
    <t>What It Does</t>
  </si>
  <si>
    <t>Typical KPIs</t>
  </si>
  <si>
    <t>Content Creation</t>
  </si>
  <si>
    <t>Generate/rewrite documents, emails, bids, marketing assets, specs, SOPs.</t>
  </si>
  <si>
    <t>KPI examples: throughput, quality score, time to draft, win rate uplift.</t>
  </si>
  <si>
    <t>Research &amp; Information Retrieval (RIR)</t>
  </si>
  <si>
    <t>Find and synthesize facts from internal/external corpora; policy Q&amp;A; RAG.</t>
  </si>
  <si>
    <t>KPI examples: answer accuracy, time to answer, case resolution rate.</t>
  </si>
  <si>
    <t>Coding Assistance</t>
  </si>
  <si>
    <t>Code gen/refactor/tests/migration; guardrails &amp; secure patterns.</t>
  </si>
  <si>
    <t>KPI examples: story points per sprint, defects escaped, lead time change.</t>
  </si>
  <si>
    <t>Data Analysis</t>
  </si>
  <si>
    <t>Anomaly detection, forecasting, clustering, ranking, optimization.</t>
  </si>
  <si>
    <t>KPI examples: forecast MAPE, downtime reduction, waste/scrap reduction.</t>
  </si>
  <si>
    <t>Conversational Interfaces</t>
  </si>
  <si>
    <t>Copilots for employees/customers: guided flows + tools + memory.</t>
  </si>
  <si>
    <t>KPI examples: CSAT, FCR, AHT, deflection, adoption/DAU/MAU.</t>
  </si>
  <si>
    <t>Workflow Automation</t>
  </si>
  <si>
    <t>Orchestration across apps/people; auto-triage, routing, approvals.</t>
  </si>
  <si>
    <t>KPI examples: cycle time, throughput, SLA attainment, rework rate.</t>
  </si>
  <si>
    <t>Item</t>
  </si>
  <si>
    <t>Cell</t>
  </si>
  <si>
    <t>Value</t>
  </si>
  <si>
    <t>Driver Weights</t>
  </si>
  <si>
    <t>Revenue</t>
  </si>
  <si>
    <t>ScoringModel!C3</t>
  </si>
  <si>
    <t>Cost</t>
  </si>
  <si>
    <t>ScoringModel!C4</t>
  </si>
  <si>
    <t>CashFlow</t>
  </si>
  <si>
    <t>ScoringModel!C5</t>
  </si>
  <si>
    <t>Risk</t>
  </si>
  <si>
    <t>ScoringModel!C6</t>
  </si>
  <si>
    <t>Priority Weights</t>
  </si>
  <si>
    <t>ValueWeight</t>
  </si>
  <si>
    <t>ScoringModel!C9</t>
  </si>
  <si>
    <t>PsuccessWeight</t>
  </si>
  <si>
    <t>ScoringModel!C10</t>
  </si>
  <si>
    <t>AlignmentWeight</t>
  </si>
  <si>
    <t>ScoringModel!C11</t>
  </si>
  <si>
    <t>TimeToValueWeight</t>
  </si>
  <si>
    <t>ScoringModel!C12</t>
  </si>
  <si>
    <t>EffortWeight</t>
  </si>
  <si>
    <t>ScoringModel!C13</t>
  </si>
  <si>
    <t>Parameters</t>
  </si>
  <si>
    <t>ValueNormalizerUSD</t>
  </si>
  <si>
    <t>ScoringModel!C16</t>
  </si>
  <si>
    <t>MaxTTVMonths</t>
  </si>
  <si>
    <t>ScoringModel!C17</t>
  </si>
  <si>
    <t>MinEffortScore</t>
  </si>
  <si>
    <t>ScoringModel!C18</t>
  </si>
  <si>
    <t>MaxEffortScore</t>
  </si>
  <si>
    <t>ScoringModel!C19</t>
  </si>
  <si>
    <t>ID</t>
  </si>
  <si>
    <t>UseCase</t>
  </si>
  <si>
    <t>SubFunction</t>
  </si>
  <si>
    <t>Primitives</t>
  </si>
  <si>
    <t>FrictionPoint</t>
  </si>
  <si>
    <t>RevBenefitUSD</t>
  </si>
  <si>
    <t>CostBenefitUSD</t>
  </si>
  <si>
    <t>CashFlowBenefitUSD</t>
  </si>
  <si>
    <t>RiskBenefitUSD</t>
  </si>
  <si>
    <t>Psuccess</t>
  </si>
  <si>
    <t>Alignment</t>
  </si>
  <si>
    <t>TTV_Months</t>
  </si>
  <si>
    <t>EffortScore</t>
  </si>
  <si>
    <t>ValueScore</t>
  </si>
  <si>
    <t>TimeToValueScore</t>
  </si>
  <si>
    <t>EffortScoreNorm</t>
  </si>
  <si>
    <t>PriorityScore</t>
  </si>
  <si>
    <t>Rank</t>
  </si>
  <si>
    <t>PrimaryKPI</t>
  </si>
  <si>
    <t>Baseline</t>
  </si>
  <si>
    <t>Target</t>
  </si>
  <si>
    <t>KPI_Timeframe_Months</t>
  </si>
  <si>
    <t>UsersOrProcesses</t>
  </si>
  <si>
    <t>PromptsPerUserPerDay</t>
  </si>
  <si>
    <t>ToolCallsPerPrompt</t>
  </si>
  <si>
    <t>AvgInputTokens</t>
  </si>
  <si>
    <t>AvgProcessingTokens</t>
  </si>
  <si>
    <t>AvgReasoningTokens</t>
  </si>
  <si>
    <t>AvgOutputTokens</t>
  </si>
  <si>
    <t>DaysPerMonth</t>
  </si>
  <si>
    <t>MonthlyTokens_Est</t>
  </si>
  <si>
    <t>Sales Proposal Generator</t>
  </si>
  <si>
    <t>Content Creation, RIR, Conversational</t>
  </si>
  <si>
    <t>Slow, inconsistent proposals; low reuse; missed deadlines.</t>
  </si>
  <si>
    <t>Win rate (%)</t>
  </si>
  <si>
    <t>Helpdesk Copilot (IT/HR)</t>
  </si>
  <si>
    <t>Conversational, RIR, Workflow Automation</t>
  </si>
  <si>
    <t>High L1 volume and long resolution times; duplicate tickets.</t>
  </si>
  <si>
    <t>First contact resolution (%)</t>
  </si>
  <si>
    <t>Code Assistant</t>
  </si>
  <si>
    <t>Slow delivery; rework and escaped defects; legacy migrations.</t>
  </si>
  <si>
    <t>Lead time (days)</t>
  </si>
  <si>
    <t>AP Invoice Processing</t>
  </si>
  <si>
    <t>Data Analysis, Workflow Automation</t>
  </si>
  <si>
    <t>Manual invoice coding/3-way match; late fees; errors.</t>
  </si>
  <si>
    <t>Invoice cycle time (days)</t>
  </si>
  <si>
    <t>Predictive Maintenance</t>
  </si>
  <si>
    <t>Unplanned downtime; reactive maintenance; spare parts bloat.</t>
  </si>
  <si>
    <t>Unplanned downtime (hrs/yr)</t>
  </si>
  <si>
    <t>Churn Early Warning &amp; Outreach</t>
  </si>
  <si>
    <t>Data Analysis, Conversational</t>
  </si>
  <si>
    <t>Late churn detection; generic outreach; poor segmentation.</t>
  </si>
  <si>
    <t>Gross revenue retention (%)</t>
  </si>
  <si>
    <t>Marketing Content Studio</t>
  </si>
  <si>
    <t>Content Creation, RIR</t>
  </si>
  <si>
    <t>Content bottlenecks; low volume; inconsistent brand voice.</t>
  </si>
  <si>
    <t>MQLs per month</t>
  </si>
  <si>
    <t>Compliance Policy Q&amp;A</t>
  </si>
  <si>
    <t>RIR, Conversational</t>
  </si>
  <si>
    <t>Employees can't find policy answers; inconsistent interpretations.</t>
  </si>
  <si>
    <t>Policy queries answered accurately (%)</t>
  </si>
  <si>
    <t>Field Service Route &amp; Remedy Copilot</t>
  </si>
  <si>
    <t>Conversational, Workflow Automation</t>
  </si>
  <si>
    <t>Inefficient routing; repeat truck rolls; tribal knowledge.</t>
  </si>
  <si>
    <t>Repeat visits (%)</t>
  </si>
  <si>
    <t>Talent Onboarding Copilot</t>
  </si>
  <si>
    <t>Conversational, RIR</t>
  </si>
  <si>
    <t>Slow time-to-productivity; inconsistent onboarding; high ticket volume.</t>
  </si>
  <si>
    <t>Time to productivity (days)</t>
  </si>
  <si>
    <t>Primitive</t>
  </si>
  <si>
    <t>Typical Input</t>
  </si>
  <si>
    <t>Typical Processing</t>
  </si>
  <si>
    <t>Typical Reasoning</t>
  </si>
  <si>
    <t>Typical Output</t>
  </si>
  <si>
    <t>Guidance</t>
  </si>
  <si>
    <t>Use these as starting points; override per use case in Backlog. ToolCallsPerPrompt captures multi-tool/agent hops. DaysPerMonth defaults to 22.</t>
  </si>
  <si>
    <t>Research &amp; Info Retrieval</t>
  </si>
  <si>
    <t>AI Portfolio – Executive Dashboard</t>
  </si>
  <si>
    <t>Live metrics linked to Backlog (edit weights in ScoringModel; tokens in Backlog).</t>
  </si>
  <si>
    <t>Key Totals</t>
  </si>
  <si>
    <t>Top 5 Use Cases by Priority</t>
  </si>
  <si>
    <t>Total Annual Revenue Benefit</t>
  </si>
  <si>
    <t>Monthly Tokens</t>
  </si>
  <si>
    <t>Annual Value ($)</t>
  </si>
  <si>
    <t>Total Annual Cost Benefit</t>
  </si>
  <si>
    <t>Total Annual Cash Flow Benefit</t>
  </si>
  <si>
    <t>Total Annual Risk Benefit</t>
  </si>
  <si>
    <t>Total Annual Value (All Drivers)</t>
  </si>
  <si>
    <t>Total Monthly Tokens (All Use Cases)</t>
  </si>
  <si>
    <t>Value per 1M Tokens (Annualized)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</si>
</sst>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Value by Driver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ExecutiveDashboard!$A$6:$A$9</c:f>
              <c:strCache>
                <c:ptCount val="4"/>
                <c:pt idx="0">
                  <c:v>Total Annual Revenue Benefit</c:v>
                </c:pt>
                <c:pt idx="1">
                  <c:v>Total Annual Cost Benefit</c:v>
                </c:pt>
                <c:pt idx="2">
                  <c:v>Total Annual Cash Flow Benefit</c:v>
                </c:pt>
                <c:pt idx="3">
                  <c:v>Total Annual Risk Benefit</c:v>
                </c:pt>
              </c:strCache>
            </c:strRef>
          </c:cat>
          <c:val>
            <c:numRef>
              <c:f>ExecutiveDashboard!$B$6:$B$9</c:f>
              <c:numCache>
                <c:formatCode>General</c:formatCode>
                <c:ptCount val="4"/>
                <c:pt idx="0">
                  <c:v>4600000</c:v>
                </c:pt>
                <c:pt idx="1">
                  <c:v>4150000</c:v>
                </c:pt>
                <c:pt idx="2">
                  <c:v>2300000</c:v>
                </c:pt>
                <c:pt idx="3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A-024E-9165-90C6B0F4A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5 – Priority Scores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ExecutiveDashboard!$E$7:$E$11</c:f>
              <c:strCache>
                <c:ptCount val="5"/>
                <c:pt idx="0">
                  <c:v>Sales Proposal Generator</c:v>
                </c:pt>
                <c:pt idx="1">
                  <c:v>AP Invoice Processing</c:v>
                </c:pt>
                <c:pt idx="2">
                  <c:v>Compliance Policy Q&amp;A</c:v>
                </c:pt>
                <c:pt idx="3">
                  <c:v>Marketing Content Studio</c:v>
                </c:pt>
                <c:pt idx="4">
                  <c:v>Helpdesk Copilot (IT/HR)</c:v>
                </c:pt>
              </c:strCache>
            </c:strRef>
          </c:cat>
          <c:val>
            <c:numRef>
              <c:f>ExecutiveDashboard!$F$7:$F$11</c:f>
              <c:numCache>
                <c:formatCode>General</c:formatCode>
                <c:ptCount val="5"/>
                <c:pt idx="0">
                  <c:v>74.25</c:v>
                </c:pt>
                <c:pt idx="1">
                  <c:v>70.541666666666671</c:v>
                </c:pt>
                <c:pt idx="2">
                  <c:v>55.208333333333336</c:v>
                </c:pt>
                <c:pt idx="3">
                  <c:v>54.708333333333336</c:v>
                </c:pt>
                <c:pt idx="4">
                  <c:v>51.333333333333329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0-5C4C-A709-BD685A733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 (0–100)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Tokens Share – Top 5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ExecutiveDashboard!$E$7:$E$11</c:f>
              <c:strCache>
                <c:ptCount val="5"/>
                <c:pt idx="0">
                  <c:v>Sales Proposal Generator</c:v>
                </c:pt>
                <c:pt idx="1">
                  <c:v>AP Invoice Processing</c:v>
                </c:pt>
                <c:pt idx="2">
                  <c:v>Compliance Policy Q&amp;A</c:v>
                </c:pt>
                <c:pt idx="3">
                  <c:v>Marketing Content Studio</c:v>
                </c:pt>
                <c:pt idx="4">
                  <c:v>Helpdesk Copilot (IT/HR)</c:v>
                </c:pt>
              </c:strCache>
            </c:strRef>
          </c:cat>
          <c:val>
            <c:numRef>
              <c:f>ExecutiveDashboard!$G$7:$G$11</c:f>
              <c:numCache>
                <c:formatCode>General</c:formatCode>
                <c:ptCount val="5"/>
                <c:pt idx="0">
                  <c:v>56284800</c:v>
                </c:pt>
                <c:pt idx="1">
                  <c:v>25850880</c:v>
                </c:pt>
                <c:pt idx="2">
                  <c:v>2710400</c:v>
                </c:pt>
                <c:pt idx="3">
                  <c:v>28892160</c:v>
                </c:pt>
                <c:pt idx="4">
                  <c:v>14784000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6-044A-B768-0948696CE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15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15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zoomScale="150" zoomScaleNormal="150"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zoomScale="160" zoomScaleNormal="160" workbookViewId="0">
      <selection activeCell="C10" sqref="C10"/>
    </sheetView>
  </sheetViews>
  <sheetFormatPr baseColWidth="10" defaultColWidth="8.83203125" defaultRowHeight="15" x14ac:dyDescent="0.2"/>
  <cols>
    <col min="2" max="2" width="25.5" bestFit="1" customWidth="1"/>
    <col min="3" max="3" width="190" bestFit="1" customWidth="1"/>
  </cols>
  <sheetData>
    <row r="1" spans="1:3" x14ac:dyDescent="0.2">
      <c r="A1" s="1" t="s">
        <v>10</v>
      </c>
      <c r="B1" s="1" t="s">
        <v>11</v>
      </c>
      <c r="C1" s="1" t="s">
        <v>12</v>
      </c>
    </row>
    <row r="2" spans="1:3" x14ac:dyDescent="0.2">
      <c r="A2">
        <v>1</v>
      </c>
      <c r="B2" t="s">
        <v>13</v>
      </c>
      <c r="C2" t="s">
        <v>14</v>
      </c>
    </row>
    <row r="3" spans="1:3" x14ac:dyDescent="0.2">
      <c r="A3">
        <v>2</v>
      </c>
      <c r="B3" t="s">
        <v>15</v>
      </c>
      <c r="C3" t="s">
        <v>16</v>
      </c>
    </row>
    <row r="4" spans="1:3" x14ac:dyDescent="0.2">
      <c r="A4">
        <v>3</v>
      </c>
      <c r="B4" t="s">
        <v>17</v>
      </c>
      <c r="C4" t="s">
        <v>18</v>
      </c>
    </row>
    <row r="5" spans="1:3" x14ac:dyDescent="0.2">
      <c r="A5">
        <v>4</v>
      </c>
      <c r="B5" t="s">
        <v>19</v>
      </c>
      <c r="C5" t="s">
        <v>20</v>
      </c>
    </row>
    <row r="6" spans="1:3" x14ac:dyDescent="0.2">
      <c r="A6">
        <v>5</v>
      </c>
      <c r="B6" t="s">
        <v>21</v>
      </c>
      <c r="C6" t="s">
        <v>22</v>
      </c>
    </row>
    <row r="7" spans="1:3" x14ac:dyDescent="0.2">
      <c r="A7">
        <v>6</v>
      </c>
      <c r="B7" t="s">
        <v>23</v>
      </c>
      <c r="C7" t="s">
        <v>24</v>
      </c>
    </row>
    <row r="8" spans="1:3" x14ac:dyDescent="0.2">
      <c r="A8">
        <v>7</v>
      </c>
      <c r="B8" t="s">
        <v>25</v>
      </c>
      <c r="C8" t="s">
        <v>26</v>
      </c>
    </row>
    <row r="9" spans="1:3" x14ac:dyDescent="0.2">
      <c r="A9">
        <v>8</v>
      </c>
      <c r="B9" t="s">
        <v>27</v>
      </c>
      <c r="C9" t="s">
        <v>28</v>
      </c>
    </row>
    <row r="10" spans="1:3" x14ac:dyDescent="0.2">
      <c r="A10">
        <v>9</v>
      </c>
      <c r="B10" t="s">
        <v>29</v>
      </c>
      <c r="C10" t="s">
        <v>30</v>
      </c>
    </row>
    <row r="11" spans="1:3" x14ac:dyDescent="0.2">
      <c r="A11">
        <v>10</v>
      </c>
      <c r="B11" t="s">
        <v>31</v>
      </c>
      <c r="C11" t="s">
        <v>32</v>
      </c>
    </row>
    <row r="12" spans="1:3" x14ac:dyDescent="0.2">
      <c r="A12">
        <v>11</v>
      </c>
      <c r="B12" t="s">
        <v>33</v>
      </c>
      <c r="C12" t="s">
        <v>34</v>
      </c>
    </row>
    <row r="13" spans="1:3" x14ac:dyDescent="0.2">
      <c r="A13">
        <v>12</v>
      </c>
      <c r="B13" t="s">
        <v>35</v>
      </c>
      <c r="C13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8"/>
  <sheetViews>
    <sheetView topLeftCell="A47" zoomScale="140" zoomScaleNormal="140" workbookViewId="0"/>
  </sheetViews>
  <sheetFormatPr baseColWidth="10" defaultColWidth="8.83203125" defaultRowHeight="15" x14ac:dyDescent="0.2"/>
  <cols>
    <col min="1" max="1" width="17" bestFit="1" customWidth="1"/>
    <col min="2" max="2" width="16.6640625" bestFit="1" customWidth="1"/>
  </cols>
  <sheetData>
    <row r="1" spans="1:2" x14ac:dyDescent="0.2">
      <c r="A1" s="1" t="s">
        <v>37</v>
      </c>
      <c r="B1" s="1" t="s">
        <v>38</v>
      </c>
    </row>
    <row r="2" spans="1:2" x14ac:dyDescent="0.2">
      <c r="A2" t="s">
        <v>39</v>
      </c>
      <c r="B2" t="s">
        <v>40</v>
      </c>
    </row>
    <row r="3" spans="1:2" x14ac:dyDescent="0.2">
      <c r="A3" t="s">
        <v>39</v>
      </c>
      <c r="B3" t="s">
        <v>41</v>
      </c>
    </row>
    <row r="4" spans="1:2" x14ac:dyDescent="0.2">
      <c r="A4" t="s">
        <v>39</v>
      </c>
      <c r="B4" t="s">
        <v>42</v>
      </c>
    </row>
    <row r="5" spans="1:2" x14ac:dyDescent="0.2">
      <c r="A5" t="s">
        <v>39</v>
      </c>
      <c r="B5" t="s">
        <v>43</v>
      </c>
    </row>
    <row r="6" spans="1:2" x14ac:dyDescent="0.2">
      <c r="A6" t="s">
        <v>44</v>
      </c>
      <c r="B6" t="s">
        <v>45</v>
      </c>
    </row>
    <row r="7" spans="1:2" x14ac:dyDescent="0.2">
      <c r="A7" t="s">
        <v>44</v>
      </c>
      <c r="B7" t="s">
        <v>46</v>
      </c>
    </row>
    <row r="8" spans="1:2" x14ac:dyDescent="0.2">
      <c r="A8" t="s">
        <v>44</v>
      </c>
      <c r="B8" t="s">
        <v>47</v>
      </c>
    </row>
    <row r="9" spans="1:2" x14ac:dyDescent="0.2">
      <c r="A9" t="s">
        <v>44</v>
      </c>
      <c r="B9" t="s">
        <v>48</v>
      </c>
    </row>
    <row r="10" spans="1:2" x14ac:dyDescent="0.2">
      <c r="A10" t="s">
        <v>44</v>
      </c>
      <c r="B10" t="s">
        <v>49</v>
      </c>
    </row>
    <row r="11" spans="1:2" x14ac:dyDescent="0.2">
      <c r="A11" t="s">
        <v>44</v>
      </c>
      <c r="B11" t="s">
        <v>50</v>
      </c>
    </row>
    <row r="12" spans="1:2" x14ac:dyDescent="0.2">
      <c r="A12" t="s">
        <v>51</v>
      </c>
      <c r="B12" t="s">
        <v>52</v>
      </c>
    </row>
    <row r="13" spans="1:2" x14ac:dyDescent="0.2">
      <c r="A13" t="s">
        <v>51</v>
      </c>
      <c r="B13" t="s">
        <v>53</v>
      </c>
    </row>
    <row r="14" spans="1:2" x14ac:dyDescent="0.2">
      <c r="A14" t="s">
        <v>51</v>
      </c>
      <c r="B14" t="s">
        <v>54</v>
      </c>
    </row>
    <row r="15" spans="1:2" x14ac:dyDescent="0.2">
      <c r="A15" t="s">
        <v>51</v>
      </c>
      <c r="B15" t="s">
        <v>55</v>
      </c>
    </row>
    <row r="16" spans="1:2" x14ac:dyDescent="0.2">
      <c r="A16" t="s">
        <v>51</v>
      </c>
      <c r="B16" t="s">
        <v>56</v>
      </c>
    </row>
    <row r="17" spans="1:2" x14ac:dyDescent="0.2">
      <c r="A17" t="s">
        <v>51</v>
      </c>
      <c r="B17" t="s">
        <v>57</v>
      </c>
    </row>
    <row r="18" spans="1:2" x14ac:dyDescent="0.2">
      <c r="A18" t="s">
        <v>58</v>
      </c>
      <c r="B18" t="s">
        <v>59</v>
      </c>
    </row>
    <row r="19" spans="1:2" x14ac:dyDescent="0.2">
      <c r="A19" t="s">
        <v>58</v>
      </c>
      <c r="B19" t="s">
        <v>60</v>
      </c>
    </row>
    <row r="20" spans="1:2" x14ac:dyDescent="0.2">
      <c r="A20" t="s">
        <v>58</v>
      </c>
      <c r="B20" t="s">
        <v>61</v>
      </c>
    </row>
    <row r="21" spans="1:2" x14ac:dyDescent="0.2">
      <c r="A21" t="s">
        <v>58</v>
      </c>
      <c r="B21" t="s">
        <v>62</v>
      </c>
    </row>
    <row r="22" spans="1:2" x14ac:dyDescent="0.2">
      <c r="A22" t="s">
        <v>58</v>
      </c>
      <c r="B22" t="s">
        <v>63</v>
      </c>
    </row>
    <row r="23" spans="1:2" x14ac:dyDescent="0.2">
      <c r="A23" t="s">
        <v>58</v>
      </c>
      <c r="B23" t="s">
        <v>64</v>
      </c>
    </row>
    <row r="24" spans="1:2" x14ac:dyDescent="0.2">
      <c r="A24" t="s">
        <v>65</v>
      </c>
      <c r="B24" t="s">
        <v>66</v>
      </c>
    </row>
    <row r="25" spans="1:2" x14ac:dyDescent="0.2">
      <c r="A25" t="s">
        <v>65</v>
      </c>
      <c r="B25" t="s">
        <v>67</v>
      </c>
    </row>
    <row r="26" spans="1:2" x14ac:dyDescent="0.2">
      <c r="A26" t="s">
        <v>65</v>
      </c>
      <c r="B26" t="s">
        <v>68</v>
      </c>
    </row>
    <row r="27" spans="1:2" x14ac:dyDescent="0.2">
      <c r="A27" t="s">
        <v>65</v>
      </c>
      <c r="B27" t="s">
        <v>69</v>
      </c>
    </row>
    <row r="28" spans="1:2" x14ac:dyDescent="0.2">
      <c r="A28" t="s">
        <v>65</v>
      </c>
      <c r="B28" t="s">
        <v>70</v>
      </c>
    </row>
    <row r="29" spans="1:2" x14ac:dyDescent="0.2">
      <c r="A29" t="s">
        <v>71</v>
      </c>
      <c r="B29" t="s">
        <v>40</v>
      </c>
    </row>
    <row r="30" spans="1:2" x14ac:dyDescent="0.2">
      <c r="A30" t="s">
        <v>71</v>
      </c>
      <c r="B30" t="s">
        <v>72</v>
      </c>
    </row>
    <row r="31" spans="1:2" x14ac:dyDescent="0.2">
      <c r="A31" t="s">
        <v>71</v>
      </c>
      <c r="B31" t="s">
        <v>73</v>
      </c>
    </row>
    <row r="32" spans="1:2" x14ac:dyDescent="0.2">
      <c r="A32" t="s">
        <v>71</v>
      </c>
      <c r="B32" t="s">
        <v>74</v>
      </c>
    </row>
    <row r="33" spans="1:2" x14ac:dyDescent="0.2">
      <c r="A33" t="s">
        <v>71</v>
      </c>
      <c r="B33" t="s">
        <v>75</v>
      </c>
    </row>
    <row r="34" spans="1:2" x14ac:dyDescent="0.2">
      <c r="A34" t="s">
        <v>71</v>
      </c>
      <c r="B34" t="s">
        <v>76</v>
      </c>
    </row>
    <row r="35" spans="1:2" x14ac:dyDescent="0.2">
      <c r="A35" t="s">
        <v>77</v>
      </c>
      <c r="B35" t="s">
        <v>78</v>
      </c>
    </row>
    <row r="36" spans="1:2" x14ac:dyDescent="0.2">
      <c r="A36" t="s">
        <v>77</v>
      </c>
      <c r="B36" t="s">
        <v>79</v>
      </c>
    </row>
    <row r="37" spans="1:2" x14ac:dyDescent="0.2">
      <c r="A37" t="s">
        <v>77</v>
      </c>
      <c r="B37" t="s">
        <v>80</v>
      </c>
    </row>
    <row r="38" spans="1:2" x14ac:dyDescent="0.2">
      <c r="A38" t="s">
        <v>77</v>
      </c>
      <c r="B38" t="s">
        <v>81</v>
      </c>
    </row>
    <row r="39" spans="1:2" x14ac:dyDescent="0.2">
      <c r="A39" t="s">
        <v>77</v>
      </c>
      <c r="B39" t="s">
        <v>82</v>
      </c>
    </row>
    <row r="40" spans="1:2" x14ac:dyDescent="0.2">
      <c r="A40" t="s">
        <v>83</v>
      </c>
      <c r="B40" t="s">
        <v>84</v>
      </c>
    </row>
    <row r="41" spans="1:2" x14ac:dyDescent="0.2">
      <c r="A41" t="s">
        <v>83</v>
      </c>
      <c r="B41" t="s">
        <v>85</v>
      </c>
    </row>
    <row r="42" spans="1:2" x14ac:dyDescent="0.2">
      <c r="A42" t="s">
        <v>83</v>
      </c>
      <c r="B42" t="s">
        <v>75</v>
      </c>
    </row>
    <row r="43" spans="1:2" x14ac:dyDescent="0.2">
      <c r="A43" t="s">
        <v>83</v>
      </c>
      <c r="B43" t="s">
        <v>86</v>
      </c>
    </row>
    <row r="44" spans="1:2" x14ac:dyDescent="0.2">
      <c r="A44" t="s">
        <v>83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88</v>
      </c>
      <c r="B46" t="s">
        <v>90</v>
      </c>
    </row>
    <row r="47" spans="1:2" x14ac:dyDescent="0.2">
      <c r="A47" t="s">
        <v>88</v>
      </c>
      <c r="B47" t="s">
        <v>91</v>
      </c>
    </row>
    <row r="48" spans="1:2" x14ac:dyDescent="0.2">
      <c r="A48" t="s">
        <v>88</v>
      </c>
      <c r="B48" t="s">
        <v>92</v>
      </c>
    </row>
    <row r="49" spans="1:2" x14ac:dyDescent="0.2">
      <c r="A49" t="s">
        <v>88</v>
      </c>
      <c r="B49" t="s">
        <v>93</v>
      </c>
    </row>
    <row r="50" spans="1:2" x14ac:dyDescent="0.2">
      <c r="A50" t="s">
        <v>88</v>
      </c>
      <c r="B50" t="s">
        <v>94</v>
      </c>
    </row>
    <row r="51" spans="1:2" x14ac:dyDescent="0.2">
      <c r="A51" t="s">
        <v>95</v>
      </c>
      <c r="B51" t="s">
        <v>96</v>
      </c>
    </row>
    <row r="52" spans="1:2" x14ac:dyDescent="0.2">
      <c r="A52" t="s">
        <v>95</v>
      </c>
      <c r="B52" t="s">
        <v>97</v>
      </c>
    </row>
    <row r="53" spans="1:2" x14ac:dyDescent="0.2">
      <c r="A53" t="s">
        <v>95</v>
      </c>
      <c r="B53" t="s">
        <v>98</v>
      </c>
    </row>
    <row r="54" spans="1:2" x14ac:dyDescent="0.2">
      <c r="A54" t="s">
        <v>99</v>
      </c>
      <c r="B54" t="s">
        <v>100</v>
      </c>
    </row>
    <row r="55" spans="1:2" x14ac:dyDescent="0.2">
      <c r="A55" t="s">
        <v>99</v>
      </c>
      <c r="B55" t="s">
        <v>66</v>
      </c>
    </row>
    <row r="56" spans="1:2" x14ac:dyDescent="0.2">
      <c r="A56" t="s">
        <v>99</v>
      </c>
      <c r="B56" t="s">
        <v>101</v>
      </c>
    </row>
    <row r="57" spans="1:2" x14ac:dyDescent="0.2">
      <c r="A57" t="s">
        <v>99</v>
      </c>
      <c r="B57" t="s">
        <v>102</v>
      </c>
    </row>
    <row r="58" spans="1:2" x14ac:dyDescent="0.2">
      <c r="A58" t="s">
        <v>99</v>
      </c>
      <c r="B58" t="s">
        <v>103</v>
      </c>
    </row>
    <row r="59" spans="1:2" x14ac:dyDescent="0.2">
      <c r="A59" t="s">
        <v>99</v>
      </c>
      <c r="B59" t="s">
        <v>104</v>
      </c>
    </row>
    <row r="60" spans="1:2" x14ac:dyDescent="0.2">
      <c r="A60" t="s">
        <v>105</v>
      </c>
      <c r="B60" t="s">
        <v>106</v>
      </c>
    </row>
    <row r="61" spans="1:2" x14ac:dyDescent="0.2">
      <c r="A61" t="s">
        <v>105</v>
      </c>
      <c r="B61" t="s">
        <v>107</v>
      </c>
    </row>
    <row r="62" spans="1:2" x14ac:dyDescent="0.2">
      <c r="A62" t="s">
        <v>105</v>
      </c>
      <c r="B62" t="s">
        <v>108</v>
      </c>
    </row>
    <row r="63" spans="1:2" x14ac:dyDescent="0.2">
      <c r="A63" t="s">
        <v>105</v>
      </c>
      <c r="B63" t="s">
        <v>109</v>
      </c>
    </row>
    <row r="64" spans="1:2" x14ac:dyDescent="0.2">
      <c r="A64" t="s">
        <v>105</v>
      </c>
      <c r="B64" t="s">
        <v>110</v>
      </c>
    </row>
    <row r="65" spans="1:2" x14ac:dyDescent="0.2">
      <c r="A65" t="s">
        <v>105</v>
      </c>
      <c r="B65" t="s">
        <v>111</v>
      </c>
    </row>
    <row r="66" spans="1:2" x14ac:dyDescent="0.2">
      <c r="A66" t="s">
        <v>112</v>
      </c>
      <c r="B66" t="s">
        <v>113</v>
      </c>
    </row>
    <row r="67" spans="1:2" x14ac:dyDescent="0.2">
      <c r="A67" t="s">
        <v>112</v>
      </c>
      <c r="B67" t="s">
        <v>114</v>
      </c>
    </row>
    <row r="68" spans="1:2" x14ac:dyDescent="0.2">
      <c r="A68" t="s">
        <v>112</v>
      </c>
      <c r="B68" t="s">
        <v>115</v>
      </c>
    </row>
    <row r="69" spans="1:2" x14ac:dyDescent="0.2">
      <c r="A69" t="s">
        <v>112</v>
      </c>
      <c r="B69" t="s">
        <v>116</v>
      </c>
    </row>
    <row r="70" spans="1:2" x14ac:dyDescent="0.2">
      <c r="A70" t="s">
        <v>112</v>
      </c>
      <c r="B70" t="s">
        <v>117</v>
      </c>
    </row>
    <row r="71" spans="1:2" x14ac:dyDescent="0.2">
      <c r="A71" t="s">
        <v>118</v>
      </c>
      <c r="B71" t="s">
        <v>119</v>
      </c>
    </row>
    <row r="72" spans="1:2" x14ac:dyDescent="0.2">
      <c r="A72" t="s">
        <v>118</v>
      </c>
      <c r="B72" t="s">
        <v>120</v>
      </c>
    </row>
    <row r="73" spans="1:2" x14ac:dyDescent="0.2">
      <c r="A73" t="s">
        <v>118</v>
      </c>
      <c r="B73" t="s">
        <v>121</v>
      </c>
    </row>
    <row r="74" spans="1:2" x14ac:dyDescent="0.2">
      <c r="A74" t="s">
        <v>118</v>
      </c>
      <c r="B74" t="s">
        <v>122</v>
      </c>
    </row>
    <row r="75" spans="1:2" x14ac:dyDescent="0.2">
      <c r="A75" t="s">
        <v>118</v>
      </c>
      <c r="B75" t="s">
        <v>123</v>
      </c>
    </row>
    <row r="76" spans="1:2" x14ac:dyDescent="0.2">
      <c r="A76" t="s">
        <v>124</v>
      </c>
      <c r="B76" t="s">
        <v>125</v>
      </c>
    </row>
    <row r="77" spans="1:2" x14ac:dyDescent="0.2">
      <c r="A77" t="s">
        <v>124</v>
      </c>
      <c r="B77" t="s">
        <v>126</v>
      </c>
    </row>
    <row r="78" spans="1:2" x14ac:dyDescent="0.2">
      <c r="A78" t="s">
        <v>124</v>
      </c>
      <c r="B78" t="s">
        <v>127</v>
      </c>
    </row>
    <row r="79" spans="1:2" x14ac:dyDescent="0.2">
      <c r="A79" t="s">
        <v>124</v>
      </c>
      <c r="B79" t="s">
        <v>128</v>
      </c>
    </row>
    <row r="80" spans="1:2" x14ac:dyDescent="0.2">
      <c r="A80" t="s">
        <v>129</v>
      </c>
      <c r="B80" t="s">
        <v>130</v>
      </c>
    </row>
    <row r="81" spans="1:2" x14ac:dyDescent="0.2">
      <c r="A81" t="s">
        <v>129</v>
      </c>
      <c r="B81" t="s">
        <v>131</v>
      </c>
    </row>
    <row r="82" spans="1:2" x14ac:dyDescent="0.2">
      <c r="A82" t="s">
        <v>129</v>
      </c>
      <c r="B82" t="s">
        <v>132</v>
      </c>
    </row>
    <row r="83" spans="1:2" x14ac:dyDescent="0.2">
      <c r="A83" t="s">
        <v>129</v>
      </c>
      <c r="B83" t="s">
        <v>133</v>
      </c>
    </row>
    <row r="84" spans="1:2" x14ac:dyDescent="0.2">
      <c r="A84" t="s">
        <v>129</v>
      </c>
      <c r="B84" t="s">
        <v>134</v>
      </c>
    </row>
    <row r="85" spans="1:2" x14ac:dyDescent="0.2">
      <c r="A85" t="s">
        <v>135</v>
      </c>
      <c r="B85" t="s">
        <v>136</v>
      </c>
    </row>
    <row r="86" spans="1:2" x14ac:dyDescent="0.2">
      <c r="A86" t="s">
        <v>135</v>
      </c>
      <c r="B86" t="s">
        <v>137</v>
      </c>
    </row>
    <row r="87" spans="1:2" x14ac:dyDescent="0.2">
      <c r="A87" t="s">
        <v>135</v>
      </c>
      <c r="B87" t="s">
        <v>138</v>
      </c>
    </row>
    <row r="88" spans="1:2" x14ac:dyDescent="0.2">
      <c r="A88" t="s">
        <v>135</v>
      </c>
      <c r="B88" t="s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zoomScale="170" zoomScaleNormal="170" workbookViewId="0">
      <selection activeCell="B7" sqref="B7"/>
    </sheetView>
  </sheetViews>
  <sheetFormatPr baseColWidth="10" defaultColWidth="8.83203125" defaultRowHeight="15" x14ac:dyDescent="0.2"/>
  <cols>
    <col min="1" max="1" width="30.33203125" bestFit="1" customWidth="1"/>
    <col min="2" max="2" width="58.33203125" bestFit="1" customWidth="1"/>
    <col min="3" max="3" width="58.6640625" bestFit="1" customWidth="1"/>
  </cols>
  <sheetData>
    <row r="1" spans="1:3" x14ac:dyDescent="0.2">
      <c r="A1" s="1" t="s">
        <v>140</v>
      </c>
      <c r="B1" s="1" t="s">
        <v>141</v>
      </c>
      <c r="C1" s="1" t="s">
        <v>142</v>
      </c>
    </row>
    <row r="2" spans="1:3" x14ac:dyDescent="0.2">
      <c r="A2" t="s">
        <v>143</v>
      </c>
      <c r="B2" t="s">
        <v>144</v>
      </c>
      <c r="C2" t="s">
        <v>145</v>
      </c>
    </row>
    <row r="3" spans="1:3" x14ac:dyDescent="0.2">
      <c r="A3" t="s">
        <v>146</v>
      </c>
      <c r="B3" t="s">
        <v>147</v>
      </c>
      <c r="C3" t="s">
        <v>148</v>
      </c>
    </row>
    <row r="4" spans="1:3" x14ac:dyDescent="0.2">
      <c r="A4" t="s">
        <v>149</v>
      </c>
      <c r="B4" t="s">
        <v>150</v>
      </c>
      <c r="C4" t="s">
        <v>151</v>
      </c>
    </row>
    <row r="5" spans="1:3" x14ac:dyDescent="0.2">
      <c r="A5" t="s">
        <v>152</v>
      </c>
      <c r="B5" t="s">
        <v>153</v>
      </c>
      <c r="C5" t="s">
        <v>154</v>
      </c>
    </row>
    <row r="6" spans="1:3" x14ac:dyDescent="0.2">
      <c r="A6" t="s">
        <v>155</v>
      </c>
      <c r="B6" t="s">
        <v>156</v>
      </c>
      <c r="C6" t="s">
        <v>157</v>
      </c>
    </row>
    <row r="7" spans="1:3" x14ac:dyDescent="0.2">
      <c r="A7" t="s">
        <v>158</v>
      </c>
      <c r="B7" t="s">
        <v>159</v>
      </c>
      <c r="C7" t="s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zoomScale="140" zoomScaleNormal="140" workbookViewId="0"/>
  </sheetViews>
  <sheetFormatPr baseColWidth="10" defaultColWidth="8.83203125" defaultRowHeight="15" x14ac:dyDescent="0.2"/>
  <cols>
    <col min="1" max="1" width="17" bestFit="1" customWidth="1"/>
    <col min="2" max="2" width="15.33203125" bestFit="1" customWidth="1"/>
  </cols>
  <sheetData>
    <row r="1" spans="1:3" x14ac:dyDescent="0.2">
      <c r="A1" s="1" t="s">
        <v>161</v>
      </c>
      <c r="B1" s="1" t="s">
        <v>162</v>
      </c>
      <c r="C1" s="1" t="s">
        <v>163</v>
      </c>
    </row>
    <row r="2" spans="1:3" x14ac:dyDescent="0.2">
      <c r="A2" t="s">
        <v>164</v>
      </c>
    </row>
    <row r="3" spans="1:3" x14ac:dyDescent="0.2">
      <c r="A3" t="s">
        <v>165</v>
      </c>
      <c r="B3" t="s">
        <v>166</v>
      </c>
      <c r="C3">
        <v>0.25</v>
      </c>
    </row>
    <row r="4" spans="1:3" x14ac:dyDescent="0.2">
      <c r="A4" t="s">
        <v>167</v>
      </c>
      <c r="B4" t="s">
        <v>168</v>
      </c>
      <c r="C4">
        <v>0.25</v>
      </c>
    </row>
    <row r="5" spans="1:3" x14ac:dyDescent="0.2">
      <c r="A5" t="s">
        <v>169</v>
      </c>
      <c r="B5" t="s">
        <v>170</v>
      </c>
      <c r="C5">
        <v>0.25</v>
      </c>
    </row>
    <row r="6" spans="1:3" x14ac:dyDescent="0.2">
      <c r="A6" t="s">
        <v>171</v>
      </c>
      <c r="B6" t="s">
        <v>172</v>
      </c>
      <c r="C6">
        <v>0.25</v>
      </c>
    </row>
    <row r="8" spans="1:3" x14ac:dyDescent="0.2">
      <c r="A8" t="s">
        <v>173</v>
      </c>
    </row>
    <row r="9" spans="1:3" x14ac:dyDescent="0.2">
      <c r="A9" t="s">
        <v>174</v>
      </c>
      <c r="B9" t="s">
        <v>175</v>
      </c>
      <c r="C9">
        <v>0.5</v>
      </c>
    </row>
    <row r="10" spans="1:3" x14ac:dyDescent="0.2">
      <c r="A10" t="s">
        <v>176</v>
      </c>
      <c r="B10" t="s">
        <v>177</v>
      </c>
      <c r="C10">
        <v>0.2</v>
      </c>
    </row>
    <row r="11" spans="1:3" x14ac:dyDescent="0.2">
      <c r="A11" t="s">
        <v>178</v>
      </c>
      <c r="B11" t="s">
        <v>179</v>
      </c>
      <c r="C11">
        <v>0.15</v>
      </c>
    </row>
    <row r="12" spans="1:3" x14ac:dyDescent="0.2">
      <c r="A12" t="s">
        <v>180</v>
      </c>
      <c r="B12" t="s">
        <v>181</v>
      </c>
      <c r="C12">
        <v>0.1</v>
      </c>
    </row>
    <row r="13" spans="1:3" x14ac:dyDescent="0.2">
      <c r="A13" t="s">
        <v>182</v>
      </c>
      <c r="B13" t="s">
        <v>183</v>
      </c>
      <c r="C13">
        <v>0.05</v>
      </c>
    </row>
    <row r="15" spans="1:3" x14ac:dyDescent="0.2">
      <c r="A15" t="s">
        <v>184</v>
      </c>
    </row>
    <row r="16" spans="1:3" x14ac:dyDescent="0.2">
      <c r="A16" t="s">
        <v>185</v>
      </c>
      <c r="B16" t="s">
        <v>186</v>
      </c>
      <c r="C16">
        <v>1000000</v>
      </c>
    </row>
    <row r="17" spans="1:3" x14ac:dyDescent="0.2">
      <c r="A17" t="s">
        <v>187</v>
      </c>
      <c r="B17" t="s">
        <v>188</v>
      </c>
      <c r="C17">
        <v>12</v>
      </c>
    </row>
    <row r="18" spans="1:3" x14ac:dyDescent="0.2">
      <c r="A18" t="s">
        <v>189</v>
      </c>
      <c r="B18" t="s">
        <v>190</v>
      </c>
      <c r="C18">
        <v>1</v>
      </c>
    </row>
    <row r="19" spans="1:3" x14ac:dyDescent="0.2">
      <c r="A19" t="s">
        <v>191</v>
      </c>
      <c r="B19" t="s">
        <v>192</v>
      </c>
      <c r="C19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1"/>
  <sheetViews>
    <sheetView topLeftCell="U1" zoomScale="160" zoomScaleNormal="160" workbookViewId="0">
      <selection activeCell="F26" sqref="F26"/>
    </sheetView>
  </sheetViews>
  <sheetFormatPr baseColWidth="10" defaultColWidth="8.83203125" defaultRowHeight="15" x14ac:dyDescent="0.2"/>
  <cols>
    <col min="2" max="2" width="29.83203125" bestFit="1" customWidth="1"/>
    <col min="3" max="3" width="17" bestFit="1" customWidth="1"/>
    <col min="4" max="4" width="11" bestFit="1" customWidth="1"/>
    <col min="5" max="5" width="34.33203125" bestFit="1" customWidth="1"/>
    <col min="6" max="6" width="56.83203125" bestFit="1" customWidth="1"/>
    <col min="7" max="7" width="12.83203125" bestFit="1" customWidth="1"/>
    <col min="8" max="8" width="13.33203125" bestFit="1" customWidth="1"/>
    <col min="9" max="9" width="17.33203125" bestFit="1" customWidth="1"/>
    <col min="10" max="10" width="13" bestFit="1" customWidth="1"/>
    <col min="11" max="11" width="7.83203125" bestFit="1" customWidth="1"/>
    <col min="12" max="12" width="9.33203125" bestFit="1" customWidth="1"/>
    <col min="13" max="13" width="10.83203125" bestFit="1" customWidth="1"/>
    <col min="14" max="14" width="9.6640625" bestFit="1" customWidth="1"/>
    <col min="15" max="15" width="10" bestFit="1" customWidth="1"/>
    <col min="16" max="16" width="15.6640625" bestFit="1" customWidth="1"/>
    <col min="17" max="17" width="14" bestFit="1" customWidth="1"/>
    <col min="18" max="18" width="12.1640625" bestFit="1" customWidth="1"/>
    <col min="19" max="19" width="14.5" customWidth="1"/>
    <col min="20" max="20" width="29.6640625" customWidth="1"/>
    <col min="23" max="23" width="21.83203125" customWidth="1"/>
    <col min="24" max="24" width="14.6640625" bestFit="1" customWidth="1"/>
    <col min="25" max="25" width="19.5" bestFit="1" customWidth="1"/>
    <col min="26" max="26" width="16.6640625" bestFit="1" customWidth="1"/>
    <col min="27" max="27" width="13.5" bestFit="1" customWidth="1"/>
    <col min="28" max="28" width="17.6640625" bestFit="1" customWidth="1"/>
    <col min="29" max="29" width="17.33203125" bestFit="1" customWidth="1"/>
    <col min="30" max="30" width="14.83203125" bestFit="1" customWidth="1"/>
    <col min="31" max="31" width="13.33203125" customWidth="1"/>
    <col min="32" max="32" width="18.1640625" customWidth="1"/>
  </cols>
  <sheetData>
    <row r="1" spans="1:32" x14ac:dyDescent="0.2">
      <c r="A1" s="1" t="s">
        <v>193</v>
      </c>
      <c r="B1" s="1" t="s">
        <v>194</v>
      </c>
      <c r="C1" s="1" t="s">
        <v>37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213</v>
      </c>
      <c r="W1" s="1" t="s">
        <v>214</v>
      </c>
      <c r="X1" s="1" t="s">
        <v>215</v>
      </c>
      <c r="Y1" s="1" t="s">
        <v>216</v>
      </c>
      <c r="Z1" s="1" t="s">
        <v>217</v>
      </c>
      <c r="AA1" s="1" t="s">
        <v>218</v>
      </c>
      <c r="AB1" s="1" t="s">
        <v>219</v>
      </c>
      <c r="AC1" s="1" t="s">
        <v>220</v>
      </c>
      <c r="AD1" s="1" t="s">
        <v>221</v>
      </c>
      <c r="AE1" s="1" t="s">
        <v>222</v>
      </c>
      <c r="AF1" s="1" t="s">
        <v>223</v>
      </c>
    </row>
    <row r="2" spans="1:32" x14ac:dyDescent="0.2">
      <c r="A2">
        <v>1</v>
      </c>
      <c r="B2" t="s">
        <v>224</v>
      </c>
      <c r="C2" t="s">
        <v>44</v>
      </c>
      <c r="D2" t="s">
        <v>48</v>
      </c>
      <c r="E2" t="s">
        <v>225</v>
      </c>
      <c r="F2" t="s">
        <v>226</v>
      </c>
      <c r="G2" s="2">
        <v>2500000</v>
      </c>
      <c r="H2" s="2">
        <v>300000</v>
      </c>
      <c r="I2" s="2">
        <v>0</v>
      </c>
      <c r="J2" s="2">
        <v>0</v>
      </c>
      <c r="K2">
        <v>0.75</v>
      </c>
      <c r="L2">
        <v>0.95</v>
      </c>
      <c r="M2">
        <v>3</v>
      </c>
      <c r="N2">
        <v>3</v>
      </c>
      <c r="O2" s="3">
        <f>MIN((G2*ScoringModel!$C$3+H2*ScoringModel!$C$4+I2*ScoringModel!$C$5+J2*ScoringModel!$C$6)/ScoringModel!$C$16,1)</f>
        <v>0.7</v>
      </c>
      <c r="P2" s="3">
        <f>1-MIN(M2/ScoringModel!$C$17,1)</f>
        <v>0.75</v>
      </c>
      <c r="Q2" s="3">
        <f>(N2-ScoringModel!$C$18)/(ScoringModel!$C$19-ScoringModel!$C$18)</f>
        <v>0.5</v>
      </c>
      <c r="R2" s="3">
        <f>100*(ScoringModel!$C$9*O2+ScoringModel!$C$10*K2+ScoringModel!$C$11*L2+ScoringModel!$C$12*P2+ScoringModel!$C$13*(1-Q2))</f>
        <v>74.25</v>
      </c>
      <c r="S2">
        <f>_xlfn.RANK.EQ(R2,$R$2:$R$11,0)</f>
        <v>1</v>
      </c>
      <c r="T2" t="s">
        <v>227</v>
      </c>
      <c r="U2">
        <v>20</v>
      </c>
      <c r="V2">
        <v>21</v>
      </c>
      <c r="W2">
        <v>6</v>
      </c>
      <c r="X2">
        <v>60</v>
      </c>
      <c r="Y2">
        <v>8</v>
      </c>
      <c r="Z2">
        <v>1.3</v>
      </c>
      <c r="AA2">
        <v>1200</v>
      </c>
      <c r="AB2">
        <v>1600</v>
      </c>
      <c r="AC2">
        <v>300</v>
      </c>
      <c r="AD2">
        <v>1000</v>
      </c>
      <c r="AE2">
        <v>22</v>
      </c>
      <c r="AF2" s="4">
        <f t="shared" ref="AF2:AF11" si="0">X2*Y2*AE2*Z2*(AA2+AB2+AC2+AD2)</f>
        <v>56284800</v>
      </c>
    </row>
    <row r="3" spans="1:32" x14ac:dyDescent="0.2">
      <c r="A3">
        <v>2</v>
      </c>
      <c r="B3" t="s">
        <v>228</v>
      </c>
      <c r="C3" t="s">
        <v>105</v>
      </c>
      <c r="D3" t="s">
        <v>106</v>
      </c>
      <c r="E3" t="s">
        <v>229</v>
      </c>
      <c r="F3" t="s">
        <v>230</v>
      </c>
      <c r="G3" s="2">
        <v>0</v>
      </c>
      <c r="H3" s="2">
        <v>600000</v>
      </c>
      <c r="I3" s="2">
        <v>0</v>
      </c>
      <c r="J3" s="2">
        <v>100000</v>
      </c>
      <c r="K3">
        <v>0.85</v>
      </c>
      <c r="L3">
        <v>0.9</v>
      </c>
      <c r="M3">
        <v>2</v>
      </c>
      <c r="N3">
        <v>2</v>
      </c>
      <c r="O3" s="3">
        <f>MIN((G3*ScoringModel!$C$3+H3*ScoringModel!$C$4+I3*ScoringModel!$C$5+J3*ScoringModel!$C$6)/ScoringModel!$C$16,1)</f>
        <v>0.17499999999999999</v>
      </c>
      <c r="P3" s="3">
        <f>1-MIN(M3/ScoringModel!$C$17,1)</f>
        <v>0.83333333333333337</v>
      </c>
      <c r="Q3" s="3">
        <f>(N3-ScoringModel!$C$18)/(ScoringModel!$C$19-ScoringModel!$C$18)</f>
        <v>0.25</v>
      </c>
      <c r="R3" s="3">
        <f>100*(ScoringModel!$C$9*O3+ScoringModel!$C$10*K3+ScoringModel!$C$11*L3+ScoringModel!$C$12*P3+ScoringModel!$C$13*(1-Q3))</f>
        <v>51.333333333333329</v>
      </c>
      <c r="S3">
        <f t="shared" ref="S3:S11" si="1">_xlfn.RANK.EQ(R3,$R$2:$R$11,0)</f>
        <v>5</v>
      </c>
      <c r="T3" t="s">
        <v>231</v>
      </c>
      <c r="U3">
        <v>55</v>
      </c>
      <c r="V3">
        <v>70</v>
      </c>
      <c r="W3">
        <v>6</v>
      </c>
      <c r="X3">
        <v>400</v>
      </c>
      <c r="Y3">
        <v>1</v>
      </c>
      <c r="Z3">
        <v>1.2</v>
      </c>
      <c r="AA3">
        <v>300</v>
      </c>
      <c r="AB3">
        <v>700</v>
      </c>
      <c r="AC3">
        <v>150</v>
      </c>
      <c r="AD3">
        <v>250</v>
      </c>
      <c r="AE3">
        <v>22</v>
      </c>
      <c r="AF3" s="4">
        <f t="shared" si="0"/>
        <v>14784000</v>
      </c>
    </row>
    <row r="4" spans="1:32" x14ac:dyDescent="0.2">
      <c r="A4">
        <v>3</v>
      </c>
      <c r="B4" t="s">
        <v>232</v>
      </c>
      <c r="C4" t="s">
        <v>58</v>
      </c>
      <c r="D4" t="s">
        <v>61</v>
      </c>
      <c r="E4" t="s">
        <v>149</v>
      </c>
      <c r="F4" t="s">
        <v>233</v>
      </c>
      <c r="G4" s="2">
        <v>0</v>
      </c>
      <c r="H4" s="2">
        <v>800000</v>
      </c>
      <c r="I4" s="2">
        <v>0</v>
      </c>
      <c r="J4" s="2">
        <v>0</v>
      </c>
      <c r="K4">
        <v>0.8</v>
      </c>
      <c r="L4">
        <v>0.85</v>
      </c>
      <c r="M4">
        <v>2</v>
      </c>
      <c r="N4">
        <v>3</v>
      </c>
      <c r="O4" s="3">
        <f>MIN((G4*ScoringModel!$C$3+H4*ScoringModel!$C$4+I4*ScoringModel!$C$5+J4*ScoringModel!$C$6)/ScoringModel!$C$16,1)</f>
        <v>0.2</v>
      </c>
      <c r="P4" s="3">
        <f>1-MIN(M4/ScoringModel!$C$17,1)</f>
        <v>0.83333333333333337</v>
      </c>
      <c r="Q4" s="3">
        <f>(N4-ScoringModel!$C$18)/(ScoringModel!$C$19-ScoringModel!$C$18)</f>
        <v>0.5</v>
      </c>
      <c r="R4" s="3">
        <f>100*(ScoringModel!$C$9*O4+ScoringModel!$C$10*K4+ScoringModel!$C$11*L4+ScoringModel!$C$12*P4+ScoringModel!$C$13*(1-Q4))</f>
        <v>49.583333333333336</v>
      </c>
      <c r="S4">
        <f t="shared" si="1"/>
        <v>7</v>
      </c>
      <c r="T4" t="s">
        <v>234</v>
      </c>
      <c r="U4">
        <v>14</v>
      </c>
      <c r="V4">
        <v>9</v>
      </c>
      <c r="W4">
        <v>6</v>
      </c>
      <c r="X4">
        <v>80</v>
      </c>
      <c r="Y4">
        <v>10</v>
      </c>
      <c r="Z4">
        <v>1.1000000000000001</v>
      </c>
      <c r="AA4">
        <v>200</v>
      </c>
      <c r="AB4">
        <v>400</v>
      </c>
      <c r="AC4">
        <v>120</v>
      </c>
      <c r="AD4">
        <v>180</v>
      </c>
      <c r="AE4">
        <v>22</v>
      </c>
      <c r="AF4" s="4">
        <f t="shared" si="0"/>
        <v>17424000</v>
      </c>
    </row>
    <row r="5" spans="1:32" x14ac:dyDescent="0.2">
      <c r="A5">
        <v>4</v>
      </c>
      <c r="B5" t="s">
        <v>235</v>
      </c>
      <c r="C5" t="s">
        <v>88</v>
      </c>
      <c r="D5" t="s">
        <v>90</v>
      </c>
      <c r="E5" t="s">
        <v>236</v>
      </c>
      <c r="F5" t="s">
        <v>237</v>
      </c>
      <c r="G5" s="2">
        <v>0</v>
      </c>
      <c r="H5" s="2">
        <v>500000</v>
      </c>
      <c r="I5" s="2">
        <v>2000000</v>
      </c>
      <c r="J5" s="2">
        <v>50000</v>
      </c>
      <c r="K5">
        <v>0.8</v>
      </c>
      <c r="L5">
        <v>0.9</v>
      </c>
      <c r="M5">
        <v>4</v>
      </c>
      <c r="N5">
        <v>3</v>
      </c>
      <c r="O5" s="3">
        <f>MIN((G5*ScoringModel!$C$3+H5*ScoringModel!$C$4+I5*ScoringModel!$C$5+J5*ScoringModel!$C$6)/ScoringModel!$C$16,1)</f>
        <v>0.63749999999999996</v>
      </c>
      <c r="P5" s="3">
        <f>1-MIN(M5/ScoringModel!$C$17,1)</f>
        <v>0.66666666666666674</v>
      </c>
      <c r="Q5" s="3">
        <f>(N5-ScoringModel!$C$18)/(ScoringModel!$C$19-ScoringModel!$C$18)</f>
        <v>0.5</v>
      </c>
      <c r="R5" s="3">
        <f>100*(ScoringModel!$C$9*O5+ScoringModel!$C$10*K5+ScoringModel!$C$11*L5+ScoringModel!$C$12*P5+ScoringModel!$C$13*(1-Q5))</f>
        <v>70.541666666666671</v>
      </c>
      <c r="S5">
        <f t="shared" si="1"/>
        <v>2</v>
      </c>
      <c r="T5" t="s">
        <v>238</v>
      </c>
      <c r="U5">
        <v>7</v>
      </c>
      <c r="V5">
        <v>2</v>
      </c>
      <c r="W5">
        <v>9</v>
      </c>
      <c r="X5">
        <v>6</v>
      </c>
      <c r="Y5">
        <v>240</v>
      </c>
      <c r="Z5">
        <v>1.2</v>
      </c>
      <c r="AA5">
        <v>150</v>
      </c>
      <c r="AB5">
        <v>350</v>
      </c>
      <c r="AC5">
        <v>60</v>
      </c>
      <c r="AD5">
        <v>120</v>
      </c>
      <c r="AE5">
        <v>22</v>
      </c>
      <c r="AF5" s="4">
        <f t="shared" si="0"/>
        <v>25850880</v>
      </c>
    </row>
    <row r="6" spans="1:32" x14ac:dyDescent="0.2">
      <c r="A6">
        <v>5</v>
      </c>
      <c r="B6" t="s">
        <v>239</v>
      </c>
      <c r="C6" t="s">
        <v>71</v>
      </c>
      <c r="D6" t="s">
        <v>76</v>
      </c>
      <c r="E6" t="s">
        <v>236</v>
      </c>
      <c r="F6" t="s">
        <v>240</v>
      </c>
      <c r="G6" s="2">
        <v>0</v>
      </c>
      <c r="H6" s="2">
        <v>700000</v>
      </c>
      <c r="I6" s="2">
        <v>300000</v>
      </c>
      <c r="J6" s="2">
        <v>200000</v>
      </c>
      <c r="K6">
        <v>0.7</v>
      </c>
      <c r="L6">
        <v>0.85</v>
      </c>
      <c r="M6">
        <v>6</v>
      </c>
      <c r="N6">
        <v>4</v>
      </c>
      <c r="O6" s="3">
        <f>MIN((G6*ScoringModel!$C$3+H6*ScoringModel!$C$4+I6*ScoringModel!$C$5+J6*ScoringModel!$C$6)/ScoringModel!$C$16,1)</f>
        <v>0.3</v>
      </c>
      <c r="P6" s="3">
        <f>1-MIN(M6/ScoringModel!$C$17,1)</f>
        <v>0.5</v>
      </c>
      <c r="Q6" s="3">
        <f>(N6-ScoringModel!$C$18)/(ScoringModel!$C$19-ScoringModel!$C$18)</f>
        <v>0.75</v>
      </c>
      <c r="R6" s="3">
        <f>100*(ScoringModel!$C$9*O6+ScoringModel!$C$10*K6+ScoringModel!$C$11*L6+ScoringModel!$C$12*P6+ScoringModel!$C$13*(1-Q6))</f>
        <v>48</v>
      </c>
      <c r="S6">
        <f t="shared" si="1"/>
        <v>8</v>
      </c>
      <c r="T6" t="s">
        <v>241</v>
      </c>
      <c r="U6">
        <v>1200</v>
      </c>
      <c r="V6">
        <v>800</v>
      </c>
      <c r="W6">
        <v>12</v>
      </c>
      <c r="X6">
        <v>30</v>
      </c>
      <c r="Y6">
        <v>20</v>
      </c>
      <c r="Z6">
        <v>1.3</v>
      </c>
      <c r="AA6">
        <v>120</v>
      </c>
      <c r="AB6">
        <v>300</v>
      </c>
      <c r="AC6">
        <v>80</v>
      </c>
      <c r="AD6">
        <v>120</v>
      </c>
      <c r="AE6">
        <v>22</v>
      </c>
      <c r="AF6" s="4">
        <f t="shared" si="0"/>
        <v>10639200</v>
      </c>
    </row>
    <row r="7" spans="1:32" x14ac:dyDescent="0.2">
      <c r="A7">
        <v>6</v>
      </c>
      <c r="B7" t="s">
        <v>242</v>
      </c>
      <c r="C7" t="s">
        <v>65</v>
      </c>
      <c r="D7" t="s">
        <v>68</v>
      </c>
      <c r="E7" t="s">
        <v>243</v>
      </c>
      <c r="F7" t="s">
        <v>244</v>
      </c>
      <c r="G7" s="2">
        <v>1200000</v>
      </c>
      <c r="H7" s="2">
        <v>0</v>
      </c>
      <c r="I7" s="2">
        <v>0</v>
      </c>
      <c r="J7" s="2">
        <v>0</v>
      </c>
      <c r="K7">
        <v>0.65</v>
      </c>
      <c r="L7">
        <v>0.8</v>
      </c>
      <c r="M7">
        <v>3</v>
      </c>
      <c r="N7">
        <v>3</v>
      </c>
      <c r="O7" s="3">
        <f>MIN((G7*ScoringModel!$C$3+H7*ScoringModel!$C$4+I7*ScoringModel!$C$5+J7*ScoringModel!$C$6)/ScoringModel!$C$16,1)</f>
        <v>0.3</v>
      </c>
      <c r="P7" s="3">
        <f>1-MIN(M7/ScoringModel!$C$17,1)</f>
        <v>0.75</v>
      </c>
      <c r="Q7" s="3">
        <f>(N7-ScoringModel!$C$18)/(ScoringModel!$C$19-ScoringModel!$C$18)</f>
        <v>0.5</v>
      </c>
      <c r="R7" s="3">
        <f>100*(ScoringModel!$C$9*O7+ScoringModel!$C$10*K7+ScoringModel!$C$11*L7+ScoringModel!$C$12*P7+ScoringModel!$C$13*(1-Q7))</f>
        <v>50</v>
      </c>
      <c r="S7">
        <f t="shared" si="1"/>
        <v>6</v>
      </c>
      <c r="T7" t="s">
        <v>245</v>
      </c>
      <c r="U7">
        <v>86</v>
      </c>
      <c r="V7">
        <v>90</v>
      </c>
      <c r="W7">
        <v>12</v>
      </c>
      <c r="X7">
        <v>25</v>
      </c>
      <c r="Y7">
        <v>40</v>
      </c>
      <c r="Z7">
        <v>1.2</v>
      </c>
      <c r="AA7">
        <v>250</v>
      </c>
      <c r="AB7">
        <v>500</v>
      </c>
      <c r="AC7">
        <v>120</v>
      </c>
      <c r="AD7">
        <v>220</v>
      </c>
      <c r="AE7">
        <v>22</v>
      </c>
      <c r="AF7" s="4">
        <f t="shared" si="0"/>
        <v>28776000</v>
      </c>
    </row>
    <row r="8" spans="1:32" x14ac:dyDescent="0.2">
      <c r="A8">
        <v>7</v>
      </c>
      <c r="B8" t="s">
        <v>246</v>
      </c>
      <c r="C8" t="s">
        <v>51</v>
      </c>
      <c r="D8" t="s">
        <v>53</v>
      </c>
      <c r="E8" t="s">
        <v>247</v>
      </c>
      <c r="F8" t="s">
        <v>248</v>
      </c>
      <c r="G8" s="2">
        <v>900000</v>
      </c>
      <c r="H8" s="2">
        <v>150000</v>
      </c>
      <c r="I8" s="2">
        <v>0</v>
      </c>
      <c r="J8" s="2">
        <v>0</v>
      </c>
      <c r="K8">
        <v>0.8</v>
      </c>
      <c r="L8">
        <v>0.9</v>
      </c>
      <c r="M8">
        <v>2</v>
      </c>
      <c r="N8">
        <v>2</v>
      </c>
      <c r="O8" s="3">
        <f>MIN((G8*ScoringModel!$C$3+H8*ScoringModel!$C$4+I8*ScoringModel!$C$5+J8*ScoringModel!$C$6)/ScoringModel!$C$16,1)</f>
        <v>0.26250000000000001</v>
      </c>
      <c r="P8" s="3">
        <f>1-MIN(M8/ScoringModel!$C$17,1)</f>
        <v>0.83333333333333337</v>
      </c>
      <c r="Q8" s="3">
        <f>(N8-ScoringModel!$C$18)/(ScoringModel!$C$19-ScoringModel!$C$18)</f>
        <v>0.25</v>
      </c>
      <c r="R8" s="3">
        <f>100*(ScoringModel!$C$9*O8+ScoringModel!$C$10*K8+ScoringModel!$C$11*L8+ScoringModel!$C$12*P8+ScoringModel!$C$13*(1-Q8))</f>
        <v>54.708333333333336</v>
      </c>
      <c r="S8">
        <f t="shared" si="1"/>
        <v>4</v>
      </c>
      <c r="T8" t="s">
        <v>249</v>
      </c>
      <c r="U8">
        <v>1200</v>
      </c>
      <c r="V8">
        <v>1500</v>
      </c>
      <c r="W8">
        <v>6</v>
      </c>
      <c r="X8">
        <v>12</v>
      </c>
      <c r="Y8">
        <v>40</v>
      </c>
      <c r="Z8">
        <v>1.2</v>
      </c>
      <c r="AA8">
        <v>600</v>
      </c>
      <c r="AB8">
        <v>900</v>
      </c>
      <c r="AC8">
        <v>180</v>
      </c>
      <c r="AD8">
        <v>600</v>
      </c>
      <c r="AE8">
        <v>22</v>
      </c>
      <c r="AF8" s="4">
        <f t="shared" si="0"/>
        <v>28892160</v>
      </c>
    </row>
    <row r="9" spans="1:32" x14ac:dyDescent="0.2">
      <c r="A9">
        <v>8</v>
      </c>
      <c r="B9" t="s">
        <v>250</v>
      </c>
      <c r="C9" t="s">
        <v>112</v>
      </c>
      <c r="D9" t="s">
        <v>114</v>
      </c>
      <c r="E9" t="s">
        <v>251</v>
      </c>
      <c r="F9" t="s">
        <v>252</v>
      </c>
      <c r="G9" s="2">
        <v>0</v>
      </c>
      <c r="H9" s="2">
        <v>200000</v>
      </c>
      <c r="I9" s="2">
        <v>0</v>
      </c>
      <c r="J9" s="2">
        <v>750000</v>
      </c>
      <c r="K9">
        <v>0.85</v>
      </c>
      <c r="L9">
        <v>0.95</v>
      </c>
      <c r="M9">
        <v>2</v>
      </c>
      <c r="N9">
        <v>2</v>
      </c>
      <c r="O9" s="3">
        <f>MIN((G9*ScoringModel!$C$3+H9*ScoringModel!$C$4+I9*ScoringModel!$C$5+J9*ScoringModel!$C$6)/ScoringModel!$C$16,1)</f>
        <v>0.23749999999999999</v>
      </c>
      <c r="P9" s="3">
        <f>1-MIN(M9/ScoringModel!$C$17,1)</f>
        <v>0.83333333333333337</v>
      </c>
      <c r="Q9" s="3">
        <f>(N9-ScoringModel!$C$18)/(ScoringModel!$C$19-ScoringModel!$C$18)</f>
        <v>0.25</v>
      </c>
      <c r="R9" s="3">
        <f>100*(ScoringModel!$C$9*O9+ScoringModel!$C$10*K9+ScoringModel!$C$11*L9+ScoringModel!$C$12*P9+ScoringModel!$C$13*(1-Q9))</f>
        <v>55.208333333333336</v>
      </c>
      <c r="S9">
        <f t="shared" si="1"/>
        <v>3</v>
      </c>
      <c r="T9" t="s">
        <v>253</v>
      </c>
      <c r="U9">
        <v>60</v>
      </c>
      <c r="V9">
        <v>95</v>
      </c>
      <c r="W9">
        <v>6</v>
      </c>
      <c r="X9">
        <v>1000</v>
      </c>
      <c r="Y9">
        <v>0.2</v>
      </c>
      <c r="Z9">
        <v>1.1000000000000001</v>
      </c>
      <c r="AA9">
        <v>120</v>
      </c>
      <c r="AB9">
        <v>280</v>
      </c>
      <c r="AC9">
        <v>60</v>
      </c>
      <c r="AD9">
        <v>100</v>
      </c>
      <c r="AE9">
        <v>22</v>
      </c>
      <c r="AF9" s="4">
        <f t="shared" si="0"/>
        <v>2710400</v>
      </c>
    </row>
    <row r="10" spans="1:32" x14ac:dyDescent="0.2">
      <c r="A10">
        <v>9</v>
      </c>
      <c r="B10" t="s">
        <v>254</v>
      </c>
      <c r="C10" t="s">
        <v>71</v>
      </c>
      <c r="D10" t="s">
        <v>74</v>
      </c>
      <c r="E10" t="s">
        <v>255</v>
      </c>
      <c r="F10" t="s">
        <v>256</v>
      </c>
      <c r="G10" s="2">
        <v>0</v>
      </c>
      <c r="H10" s="2">
        <v>650000</v>
      </c>
      <c r="I10" s="2">
        <v>0</v>
      </c>
      <c r="J10" s="2">
        <v>100000</v>
      </c>
      <c r="K10">
        <v>0.75</v>
      </c>
      <c r="L10">
        <v>0.85</v>
      </c>
      <c r="M10">
        <v>4</v>
      </c>
      <c r="N10">
        <v>3</v>
      </c>
      <c r="O10" s="3">
        <f>MIN((G10*ScoringModel!$C$3+H10*ScoringModel!$C$4+I10*ScoringModel!$C$5+J10*ScoringModel!$C$6)/ScoringModel!$C$16,1)</f>
        <v>0.1875</v>
      </c>
      <c r="P10" s="3">
        <f>1-MIN(M10/ScoringModel!$C$17,1)</f>
        <v>0.66666666666666674</v>
      </c>
      <c r="Q10" s="3">
        <f>(N10-ScoringModel!$C$18)/(ScoringModel!$C$19-ScoringModel!$C$18)</f>
        <v>0.5</v>
      </c>
      <c r="R10" s="3">
        <f>100*(ScoringModel!$C$9*O10+ScoringModel!$C$10*K10+ScoringModel!$C$11*L10+ScoringModel!$C$12*P10+ScoringModel!$C$13*(1-Q10))</f>
        <v>46.291666666666679</v>
      </c>
      <c r="S10">
        <f t="shared" si="1"/>
        <v>9</v>
      </c>
      <c r="T10" t="s">
        <v>257</v>
      </c>
      <c r="U10">
        <v>18</v>
      </c>
      <c r="V10">
        <v>10</v>
      </c>
      <c r="W10">
        <v>9</v>
      </c>
      <c r="X10">
        <v>50</v>
      </c>
      <c r="Y10">
        <v>25</v>
      </c>
      <c r="Z10">
        <v>1.2</v>
      </c>
      <c r="AA10">
        <v>200</v>
      </c>
      <c r="AB10">
        <v>500</v>
      </c>
      <c r="AC10">
        <v>120</v>
      </c>
      <c r="AD10">
        <v>150</v>
      </c>
      <c r="AE10">
        <v>22</v>
      </c>
      <c r="AF10" s="4">
        <f t="shared" si="0"/>
        <v>32010000</v>
      </c>
    </row>
    <row r="11" spans="1:32" x14ac:dyDescent="0.2">
      <c r="A11">
        <v>10</v>
      </c>
      <c r="B11" t="s">
        <v>258</v>
      </c>
      <c r="C11" t="s">
        <v>99</v>
      </c>
      <c r="D11" t="s">
        <v>66</v>
      </c>
      <c r="E11" t="s">
        <v>259</v>
      </c>
      <c r="F11" t="s">
        <v>260</v>
      </c>
      <c r="G11" s="2">
        <v>0</v>
      </c>
      <c r="H11" s="2">
        <v>250000</v>
      </c>
      <c r="I11" s="2">
        <v>0</v>
      </c>
      <c r="J11" s="2">
        <v>0</v>
      </c>
      <c r="K11">
        <v>0.8</v>
      </c>
      <c r="L11">
        <v>0.8</v>
      </c>
      <c r="M11">
        <v>2</v>
      </c>
      <c r="N11">
        <v>2</v>
      </c>
      <c r="O11" s="3">
        <f>MIN((G11*ScoringModel!$C$3+H11*ScoringModel!$C$4+I11*ScoringModel!$C$5+J11*ScoringModel!$C$6)/ScoringModel!$C$16,1)</f>
        <v>6.25E-2</v>
      </c>
      <c r="P11" s="3">
        <f>1-MIN(M11/ScoringModel!$C$17,1)</f>
        <v>0.83333333333333337</v>
      </c>
      <c r="Q11" s="3">
        <f>(N11-ScoringModel!$C$18)/(ScoringModel!$C$19-ScoringModel!$C$18)</f>
        <v>0.25</v>
      </c>
      <c r="R11" s="3">
        <f>100*(ScoringModel!$C$9*O11+ScoringModel!$C$10*K11+ScoringModel!$C$11*L11+ScoringModel!$C$12*P11+ScoringModel!$C$13*(1-Q11))</f>
        <v>43.208333333333336</v>
      </c>
      <c r="S11">
        <f t="shared" si="1"/>
        <v>10</v>
      </c>
      <c r="T11" t="s">
        <v>261</v>
      </c>
      <c r="U11">
        <v>60</v>
      </c>
      <c r="V11">
        <v>45</v>
      </c>
      <c r="W11">
        <v>6</v>
      </c>
      <c r="X11">
        <v>100</v>
      </c>
      <c r="Y11">
        <v>3</v>
      </c>
      <c r="Z11">
        <v>1.1000000000000001</v>
      </c>
      <c r="AA11">
        <v>250</v>
      </c>
      <c r="AB11">
        <v>400</v>
      </c>
      <c r="AC11">
        <v>80</v>
      </c>
      <c r="AD11">
        <v>200</v>
      </c>
      <c r="AE11">
        <v>22</v>
      </c>
      <c r="AF11" s="4">
        <f t="shared" si="0"/>
        <v>6751800.0000000009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/>
  </sheetViews>
  <sheetFormatPr baseColWidth="10" defaultColWidth="8.83203125" defaultRowHeight="15" x14ac:dyDescent="0.2"/>
  <sheetData>
    <row r="1" spans="1:7" x14ac:dyDescent="0.2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G1" t="s">
        <v>267</v>
      </c>
    </row>
    <row r="2" spans="1:7" x14ac:dyDescent="0.2">
      <c r="A2" t="s">
        <v>143</v>
      </c>
      <c r="B2">
        <v>800</v>
      </c>
      <c r="C2">
        <v>600</v>
      </c>
      <c r="D2">
        <v>200</v>
      </c>
      <c r="E2">
        <v>800</v>
      </c>
      <c r="G2" t="s">
        <v>268</v>
      </c>
    </row>
    <row r="3" spans="1:7" x14ac:dyDescent="0.2">
      <c r="A3" t="s">
        <v>269</v>
      </c>
      <c r="B3">
        <v>300</v>
      </c>
      <c r="C3">
        <v>900</v>
      </c>
      <c r="D3">
        <v>150</v>
      </c>
      <c r="E3">
        <v>300</v>
      </c>
    </row>
    <row r="4" spans="1:7" x14ac:dyDescent="0.2">
      <c r="A4" t="s">
        <v>149</v>
      </c>
      <c r="B4">
        <v>150</v>
      </c>
      <c r="C4">
        <v>300</v>
      </c>
      <c r="D4">
        <v>120</v>
      </c>
      <c r="E4">
        <v>180</v>
      </c>
    </row>
    <row r="5" spans="1:7" x14ac:dyDescent="0.2">
      <c r="A5" t="s">
        <v>152</v>
      </c>
      <c r="B5">
        <v>250</v>
      </c>
      <c r="C5">
        <v>600</v>
      </c>
      <c r="D5">
        <v>180</v>
      </c>
      <c r="E5">
        <v>220</v>
      </c>
    </row>
    <row r="6" spans="1:7" x14ac:dyDescent="0.2">
      <c r="A6" t="s">
        <v>155</v>
      </c>
      <c r="B6">
        <v>120</v>
      </c>
      <c r="C6">
        <v>280</v>
      </c>
      <c r="D6">
        <v>60</v>
      </c>
      <c r="E6">
        <v>150</v>
      </c>
    </row>
    <row r="7" spans="1:7" x14ac:dyDescent="0.2">
      <c r="A7" t="s">
        <v>158</v>
      </c>
      <c r="B7">
        <v>180</v>
      </c>
      <c r="C7">
        <v>500</v>
      </c>
      <c r="D7">
        <v>120</v>
      </c>
      <c r="E7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"/>
  <sheetViews>
    <sheetView zoomScale="130" zoomScaleNormal="130" workbookViewId="0">
      <selection activeCell="J16" sqref="J16"/>
    </sheetView>
  </sheetViews>
  <sheetFormatPr baseColWidth="10" defaultColWidth="8.83203125" defaultRowHeight="15" x14ac:dyDescent="0.2"/>
  <cols>
    <col min="1" max="1" width="11.83203125" customWidth="1"/>
    <col min="2" max="2" width="22" customWidth="1"/>
    <col min="3" max="3" width="15.5" customWidth="1"/>
    <col min="4" max="4" width="16.33203125" customWidth="1"/>
    <col min="5" max="5" width="17.83203125" customWidth="1"/>
    <col min="6" max="6" width="12.6640625" bestFit="1" customWidth="1"/>
    <col min="7" max="7" width="11.1640625" bestFit="1" customWidth="1"/>
    <col min="8" max="8" width="12.6640625" bestFit="1" customWidth="1"/>
    <col min="9" max="9" width="11.1640625" bestFit="1" customWidth="1"/>
    <col min="15" max="15" width="15" customWidth="1"/>
  </cols>
  <sheetData>
    <row r="1" spans="1:15" x14ac:dyDescent="0.2">
      <c r="A1" t="s">
        <v>193</v>
      </c>
      <c r="B1" t="s">
        <v>194</v>
      </c>
      <c r="C1" t="s">
        <v>37</v>
      </c>
      <c r="D1" t="s">
        <v>195</v>
      </c>
      <c r="E1" t="s">
        <v>196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209</v>
      </c>
      <c r="O1" t="s">
        <v>223</v>
      </c>
    </row>
    <row r="2" spans="1:15" x14ac:dyDescent="0.2">
      <c r="A2">
        <v>1</v>
      </c>
      <c r="B2" t="s">
        <v>224</v>
      </c>
      <c r="C2" t="s">
        <v>44</v>
      </c>
      <c r="D2" t="s">
        <v>48</v>
      </c>
      <c r="E2" t="s">
        <v>225</v>
      </c>
      <c r="F2" s="2">
        <v>2500000</v>
      </c>
      <c r="G2" s="2">
        <v>300000</v>
      </c>
      <c r="H2" s="2">
        <v>0</v>
      </c>
      <c r="I2" s="2">
        <v>0</v>
      </c>
      <c r="J2">
        <v>0.75</v>
      </c>
      <c r="K2">
        <v>0.95</v>
      </c>
      <c r="L2">
        <v>3</v>
      </c>
      <c r="M2">
        <v>3</v>
      </c>
      <c r="N2">
        <v>74.25</v>
      </c>
      <c r="O2">
        <v>56284800</v>
      </c>
    </row>
    <row r="3" spans="1:15" x14ac:dyDescent="0.2">
      <c r="A3">
        <v>4</v>
      </c>
      <c r="B3" t="s">
        <v>235</v>
      </c>
      <c r="C3" t="s">
        <v>88</v>
      </c>
      <c r="D3" t="s">
        <v>90</v>
      </c>
      <c r="E3" t="s">
        <v>236</v>
      </c>
      <c r="F3" s="2">
        <v>0</v>
      </c>
      <c r="G3" s="2">
        <v>500000</v>
      </c>
      <c r="H3" s="2">
        <v>2000000</v>
      </c>
      <c r="I3" s="2">
        <v>50000</v>
      </c>
      <c r="J3">
        <v>0.8</v>
      </c>
      <c r="K3">
        <v>0.9</v>
      </c>
      <c r="L3">
        <v>4</v>
      </c>
      <c r="M3">
        <v>3</v>
      </c>
      <c r="N3">
        <v>70.541666666666671</v>
      </c>
      <c r="O3">
        <v>25850880</v>
      </c>
    </row>
    <row r="4" spans="1:15" x14ac:dyDescent="0.2">
      <c r="A4">
        <v>8</v>
      </c>
      <c r="B4" t="s">
        <v>250</v>
      </c>
      <c r="C4" t="s">
        <v>112</v>
      </c>
      <c r="D4" t="s">
        <v>114</v>
      </c>
      <c r="E4" t="s">
        <v>251</v>
      </c>
      <c r="F4" s="2">
        <v>0</v>
      </c>
      <c r="G4" s="2">
        <v>200000</v>
      </c>
      <c r="H4" s="2">
        <v>0</v>
      </c>
      <c r="I4" s="2">
        <v>750000</v>
      </c>
      <c r="J4">
        <v>0.85</v>
      </c>
      <c r="K4">
        <v>0.95</v>
      </c>
      <c r="L4">
        <v>2</v>
      </c>
      <c r="M4">
        <v>2</v>
      </c>
      <c r="N4">
        <v>55.208333333333343</v>
      </c>
      <c r="O4">
        <v>2710400</v>
      </c>
    </row>
    <row r="5" spans="1:15" x14ac:dyDescent="0.2">
      <c r="A5">
        <v>7</v>
      </c>
      <c r="B5" t="s">
        <v>246</v>
      </c>
      <c r="C5" t="s">
        <v>51</v>
      </c>
      <c r="D5" t="s">
        <v>53</v>
      </c>
      <c r="E5" t="s">
        <v>247</v>
      </c>
      <c r="F5" s="2">
        <v>900000</v>
      </c>
      <c r="G5" s="2">
        <v>150000</v>
      </c>
      <c r="H5" s="2">
        <v>0</v>
      </c>
      <c r="I5" s="2">
        <v>0</v>
      </c>
      <c r="J5">
        <v>0.8</v>
      </c>
      <c r="K5">
        <v>0.9</v>
      </c>
      <c r="L5">
        <v>2</v>
      </c>
      <c r="M5">
        <v>2</v>
      </c>
      <c r="N5">
        <v>54.708333333333343</v>
      </c>
      <c r="O5">
        <v>28892160</v>
      </c>
    </row>
    <row r="6" spans="1:15" x14ac:dyDescent="0.2">
      <c r="A6">
        <v>2</v>
      </c>
      <c r="B6" t="s">
        <v>228</v>
      </c>
      <c r="C6" t="s">
        <v>105</v>
      </c>
      <c r="D6" t="s">
        <v>106</v>
      </c>
      <c r="E6" t="s">
        <v>229</v>
      </c>
      <c r="F6" s="2">
        <v>0</v>
      </c>
      <c r="G6" s="2">
        <v>600000</v>
      </c>
      <c r="H6" s="2">
        <v>0</v>
      </c>
      <c r="I6" s="2">
        <v>100000</v>
      </c>
      <c r="J6">
        <v>0.85</v>
      </c>
      <c r="K6">
        <v>0.9</v>
      </c>
      <c r="L6">
        <v>2</v>
      </c>
      <c r="M6">
        <v>2</v>
      </c>
      <c r="N6">
        <v>51.333333333333329</v>
      </c>
      <c r="O6">
        <v>14784000</v>
      </c>
    </row>
    <row r="7" spans="1:15" x14ac:dyDescent="0.2">
      <c r="A7">
        <v>6</v>
      </c>
      <c r="B7" t="s">
        <v>242</v>
      </c>
      <c r="C7" t="s">
        <v>65</v>
      </c>
      <c r="D7" t="s">
        <v>68</v>
      </c>
      <c r="E7" t="s">
        <v>243</v>
      </c>
      <c r="F7" s="2">
        <v>1200000</v>
      </c>
      <c r="G7" s="2">
        <v>0</v>
      </c>
      <c r="H7" s="2">
        <v>0</v>
      </c>
      <c r="I7" s="2">
        <v>0</v>
      </c>
      <c r="J7">
        <v>0.65</v>
      </c>
      <c r="K7">
        <v>0.8</v>
      </c>
      <c r="L7">
        <v>3</v>
      </c>
      <c r="M7">
        <v>3</v>
      </c>
      <c r="N7">
        <v>50</v>
      </c>
      <c r="O7">
        <v>28776000</v>
      </c>
    </row>
    <row r="8" spans="1:15" x14ac:dyDescent="0.2">
      <c r="A8">
        <v>3</v>
      </c>
      <c r="B8" t="s">
        <v>232</v>
      </c>
      <c r="C8" t="s">
        <v>58</v>
      </c>
      <c r="D8" t="s">
        <v>61</v>
      </c>
      <c r="E8" t="s">
        <v>149</v>
      </c>
      <c r="F8" s="2">
        <v>0</v>
      </c>
      <c r="G8" s="2">
        <v>800000</v>
      </c>
      <c r="H8" s="2">
        <v>0</v>
      </c>
      <c r="I8" s="2">
        <v>0</v>
      </c>
      <c r="J8">
        <v>0.8</v>
      </c>
      <c r="K8">
        <v>0.85</v>
      </c>
      <c r="L8">
        <v>2</v>
      </c>
      <c r="M8">
        <v>3</v>
      </c>
      <c r="N8">
        <v>49.583333333333343</v>
      </c>
      <c r="O8">
        <v>17424000</v>
      </c>
    </row>
    <row r="9" spans="1:15" x14ac:dyDescent="0.2">
      <c r="A9">
        <v>5</v>
      </c>
      <c r="B9" t="s">
        <v>239</v>
      </c>
      <c r="C9" t="s">
        <v>71</v>
      </c>
      <c r="D9" t="s">
        <v>76</v>
      </c>
      <c r="E9" t="s">
        <v>236</v>
      </c>
      <c r="F9" s="2">
        <v>0</v>
      </c>
      <c r="G9" s="2">
        <v>700000</v>
      </c>
      <c r="H9" s="2">
        <v>300000</v>
      </c>
      <c r="I9" s="2">
        <v>200000</v>
      </c>
      <c r="J9">
        <v>0.7</v>
      </c>
      <c r="K9">
        <v>0.85</v>
      </c>
      <c r="L9">
        <v>6</v>
      </c>
      <c r="M9">
        <v>4</v>
      </c>
      <c r="N9">
        <v>48</v>
      </c>
      <c r="O9">
        <v>10639200</v>
      </c>
    </row>
    <row r="10" spans="1:15" x14ac:dyDescent="0.2">
      <c r="A10">
        <v>9</v>
      </c>
      <c r="B10" t="s">
        <v>254</v>
      </c>
      <c r="C10" t="s">
        <v>71</v>
      </c>
      <c r="D10" t="s">
        <v>74</v>
      </c>
      <c r="E10" t="s">
        <v>255</v>
      </c>
      <c r="F10" s="2">
        <v>0</v>
      </c>
      <c r="G10" s="2">
        <v>650000</v>
      </c>
      <c r="H10" s="2">
        <v>0</v>
      </c>
      <c r="I10" s="2">
        <v>100000</v>
      </c>
      <c r="J10">
        <v>0.75</v>
      </c>
      <c r="K10">
        <v>0.85</v>
      </c>
      <c r="L10">
        <v>4</v>
      </c>
      <c r="M10">
        <v>3</v>
      </c>
      <c r="N10">
        <v>46.291666666666679</v>
      </c>
      <c r="O10">
        <v>32010000</v>
      </c>
    </row>
    <row r="11" spans="1:15" x14ac:dyDescent="0.2">
      <c r="A11">
        <v>10</v>
      </c>
      <c r="B11" t="s">
        <v>258</v>
      </c>
      <c r="C11" t="s">
        <v>99</v>
      </c>
      <c r="D11" t="s">
        <v>66</v>
      </c>
      <c r="E11" t="s">
        <v>259</v>
      </c>
      <c r="F11" s="2">
        <v>0</v>
      </c>
      <c r="G11" s="2">
        <v>250000</v>
      </c>
      <c r="H11" s="2">
        <v>0</v>
      </c>
      <c r="I11" s="2">
        <v>0</v>
      </c>
      <c r="J11">
        <v>0.8</v>
      </c>
      <c r="K11">
        <v>0.8</v>
      </c>
      <c r="L11">
        <v>2</v>
      </c>
      <c r="M11">
        <v>2</v>
      </c>
      <c r="N11">
        <v>43.208333333333343</v>
      </c>
      <c r="O11">
        <v>6751800.0000000009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"/>
  <sheetViews>
    <sheetView tabSelected="1" workbookViewId="0"/>
  </sheetViews>
  <sheetFormatPr baseColWidth="10" defaultColWidth="8.83203125" defaultRowHeight="15" x14ac:dyDescent="0.2"/>
  <sheetData>
    <row r="1" spans="1:9" x14ac:dyDescent="0.2">
      <c r="A1" t="s">
        <v>270</v>
      </c>
    </row>
    <row r="2" spans="1:9" x14ac:dyDescent="0.2">
      <c r="A2" t="s">
        <v>271</v>
      </c>
    </row>
    <row r="4" spans="1:9" x14ac:dyDescent="0.2">
      <c r="A4" t="s">
        <v>272</v>
      </c>
      <c r="D4" t="s">
        <v>273</v>
      </c>
    </row>
    <row r="6" spans="1:9" x14ac:dyDescent="0.2">
      <c r="A6" t="s">
        <v>274</v>
      </c>
      <c r="B6">
        <f>SUM('Use Cases'!G2:G11)</f>
        <v>4600000</v>
      </c>
      <c r="D6" t="s">
        <v>210</v>
      </c>
      <c r="E6" t="s">
        <v>194</v>
      </c>
      <c r="F6" t="s">
        <v>209</v>
      </c>
      <c r="G6" t="s">
        <v>275</v>
      </c>
      <c r="H6" t="s">
        <v>276</v>
      </c>
    </row>
    <row r="7" spans="1:9" x14ac:dyDescent="0.2">
      <c r="A7" t="s">
        <v>277</v>
      </c>
      <c r="B7">
        <f>SUM('Use Cases'!H2:H11)</f>
        <v>4150000</v>
      </c>
      <c r="D7">
        <v>1</v>
      </c>
      <c r="E7" t="str">
        <f>INDEX('Use Cases'!$B$2:$B$11, I7)</f>
        <v>Sales Proposal Generator</v>
      </c>
      <c r="F7">
        <f>INDEX('Use Cases'!$R$2:$R$11, I7)</f>
        <v>74.25</v>
      </c>
      <c r="G7">
        <f>INDEX('Use Cases'!$AF$2:$AF$11, I7)</f>
        <v>56284800</v>
      </c>
      <c r="H7">
        <f>INDEX('Use Cases'!$G$2:$G$11, I7)+INDEX('Use Cases'!$H$2:$H$11, I7)+INDEX('Use Cases'!$I$2:$I$11, I7)+INDEX('Use Cases'!$J$2:$J$11, I7)</f>
        <v>2800000</v>
      </c>
      <c r="I7">
        <f>MATCH(D7,'Use Cases'!$S$2:$S$11,0)</f>
        <v>1</v>
      </c>
    </row>
    <row r="8" spans="1:9" x14ac:dyDescent="0.2">
      <c r="A8" t="s">
        <v>278</v>
      </c>
      <c r="B8">
        <f>SUM('Use Cases'!I2:I11)</f>
        <v>2300000</v>
      </c>
      <c r="D8">
        <v>2</v>
      </c>
      <c r="E8" t="str">
        <f>INDEX('Use Cases'!$B$2:$B$11, I8)</f>
        <v>AP Invoice Processing</v>
      </c>
      <c r="F8">
        <f>INDEX('Use Cases'!$R$2:$R$11, I8)</f>
        <v>70.541666666666671</v>
      </c>
      <c r="G8">
        <f>INDEX('Use Cases'!$AF$2:$AF$11, I8)</f>
        <v>25850880</v>
      </c>
      <c r="H8">
        <f>INDEX('Use Cases'!$G$2:$G$11, I8)+INDEX('Use Cases'!$H$2:$H$11, I8)+INDEX('Use Cases'!$I$2:$I$11, I8)+INDEX('Use Cases'!$J$2:$J$11, I8)</f>
        <v>2550000</v>
      </c>
      <c r="I8">
        <f>MATCH(D8,'Use Cases'!$S$2:$S$11,0)</f>
        <v>4</v>
      </c>
    </row>
    <row r="9" spans="1:9" x14ac:dyDescent="0.2">
      <c r="A9" t="s">
        <v>279</v>
      </c>
      <c r="B9">
        <f>SUM('Use Cases'!J2:J11)</f>
        <v>1200000</v>
      </c>
      <c r="D9">
        <v>3</v>
      </c>
      <c r="E9" t="str">
        <f>INDEX('Use Cases'!$B$2:$B$11, I9)</f>
        <v>Compliance Policy Q&amp;A</v>
      </c>
      <c r="F9">
        <f>INDEX('Use Cases'!$R$2:$R$11, I9)</f>
        <v>55.208333333333336</v>
      </c>
      <c r="G9">
        <f>INDEX('Use Cases'!$AF$2:$AF$11, I9)</f>
        <v>2710400</v>
      </c>
      <c r="H9">
        <f>INDEX('Use Cases'!$G$2:$G$11, I9)+INDEX('Use Cases'!$H$2:$H$11, I9)+INDEX('Use Cases'!$I$2:$I$11, I9)+INDEX('Use Cases'!$J$2:$J$11, I9)</f>
        <v>950000</v>
      </c>
      <c r="I9">
        <f>MATCH(D9,'Use Cases'!$S$2:$S$11,0)</f>
        <v>8</v>
      </c>
    </row>
    <row r="10" spans="1:9" x14ac:dyDescent="0.2">
      <c r="A10" t="s">
        <v>280</v>
      </c>
      <c r="B10">
        <f>B6+B7+B8+B9</f>
        <v>12250000</v>
      </c>
      <c r="D10">
        <v>4</v>
      </c>
      <c r="E10" t="str">
        <f>INDEX('Use Cases'!$B$2:$B$11, I10)</f>
        <v>Marketing Content Studio</v>
      </c>
      <c r="F10">
        <f>INDEX('Use Cases'!$R$2:$R$11, I10)</f>
        <v>54.708333333333336</v>
      </c>
      <c r="G10">
        <f>INDEX('Use Cases'!$AF$2:$AF$11, I10)</f>
        <v>28892160</v>
      </c>
      <c r="H10">
        <f>INDEX('Use Cases'!$G$2:$G$11, I10)+INDEX('Use Cases'!$H$2:$H$11, I10)+INDEX('Use Cases'!$I$2:$I$11, I10)+INDEX('Use Cases'!$J$2:$J$11, I10)</f>
        <v>1050000</v>
      </c>
      <c r="I10">
        <f>MATCH(D10,'Use Cases'!$S$2:$S$11,0)</f>
        <v>7</v>
      </c>
    </row>
    <row r="11" spans="1:9" x14ac:dyDescent="0.2">
      <c r="D11">
        <v>5</v>
      </c>
      <c r="E11" t="str">
        <f>INDEX('Use Cases'!$B$2:$B$11, I11)</f>
        <v>Helpdesk Copilot (IT/HR)</v>
      </c>
      <c r="F11">
        <f>INDEX('Use Cases'!$R$2:$R$11, I11)</f>
        <v>51.333333333333329</v>
      </c>
      <c r="G11">
        <f>INDEX('Use Cases'!$AF$2:$AF$11, I11)</f>
        <v>14784000</v>
      </c>
      <c r="H11">
        <f>INDEX('Use Cases'!$G$2:$G$11, I11)+INDEX('Use Cases'!$H$2:$H$11, I11)+INDEX('Use Cases'!$I$2:$I$11, I11)+INDEX('Use Cases'!$J$2:$J$11, I11)</f>
        <v>700000</v>
      </c>
      <c r="I11">
        <f>MATCH(D11,'Use Cases'!$S$2:$S$11,0)</f>
        <v>2</v>
      </c>
    </row>
    <row r="12" spans="1:9" x14ac:dyDescent="0.2">
      <c r="A12" t="s">
        <v>281</v>
      </c>
      <c r="B12">
        <f>SUM('Use Cases'!AF2:AF11)</f>
        <v>224123240</v>
      </c>
    </row>
    <row r="13" spans="1:9" x14ac:dyDescent="0.2">
      <c r="A13" t="s">
        <v>282</v>
      </c>
      <c r="B13">
        <f>IF(B12&gt;0, B10/(B12*12/1000000), "")</f>
        <v>4554.7857211654327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StepByStep</vt:lpstr>
      <vt:lpstr>BusinessFunctions</vt:lpstr>
      <vt:lpstr>PrimitiveGuide</vt:lpstr>
      <vt:lpstr>ScoringModel</vt:lpstr>
      <vt:lpstr>Use Cases</vt:lpstr>
      <vt:lpstr>TokenModel</vt:lpstr>
      <vt:lpstr>Roadmap_Snapshot</vt:lpstr>
      <vt:lpstr>ExecutiveDashboard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Drew Godwin</cp:lastModifiedBy>
  <dcterms:created xsi:type="dcterms:W3CDTF">2025-11-03T17:00:19Z</dcterms:created>
  <dcterms:modified xsi:type="dcterms:W3CDTF">2025-11-28T19:21:38Z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3365b0-f3f5-456f-93ce-8e2e75f29462_Enabled">
    <vt:lpwstr>true</vt:lpwstr>
  </property>
  <property fmtid="{D5CDD505-2E9C-101B-9397-08002B2CF9AE}" pid="3" name="MSIP_Label_693365b0-f3f5-456f-93ce-8e2e75f29462_SetDate">
    <vt:lpwstr>2025-11-03T17:14:28Z</vt:lpwstr>
  </property>
  <property fmtid="{D5CDD505-2E9C-101B-9397-08002B2CF9AE}" pid="4" name="MSIP_Label_693365b0-f3f5-456f-93ce-8e2e75f29462_Method">
    <vt:lpwstr>Privileged</vt:lpwstr>
  </property>
  <property fmtid="{D5CDD505-2E9C-101B-9397-08002B2CF9AE}" pid="5" name="MSIP_Label_693365b0-f3f5-456f-93ce-8e2e75f29462_Name">
    <vt:lpwstr>defa4170-0d19-0005-0004-bc88714345d2</vt:lpwstr>
  </property>
  <property fmtid="{D5CDD505-2E9C-101B-9397-08002B2CF9AE}" pid="6" name="MSIP_Label_693365b0-f3f5-456f-93ce-8e2e75f29462_SiteId">
    <vt:lpwstr>13b77b1f-18a7-4706-b971-95f5e1c867d9</vt:lpwstr>
  </property>
  <property fmtid="{D5CDD505-2E9C-101B-9397-08002B2CF9AE}" pid="7" name="MSIP_Label_693365b0-f3f5-456f-93ce-8e2e75f29462_ActionId">
    <vt:lpwstr>6106db51-5441-4e0b-930f-27df45e9c644</vt:lpwstr>
  </property>
  <property fmtid="{D5CDD505-2E9C-101B-9397-08002B2CF9AE}" pid="8" name="MSIP_Label_693365b0-f3f5-456f-93ce-8e2e75f29462_ContentBits">
    <vt:lpwstr>0</vt:lpwstr>
  </property>
  <property fmtid="{D5CDD505-2E9C-101B-9397-08002B2CF9AE}" pid="9" name="MSIP_Label_693365b0-f3f5-456f-93ce-8e2e75f29462_Tag">
    <vt:lpwstr>50, 0, 1, 1</vt:lpwstr>
  </property>
</Properties>
</file>